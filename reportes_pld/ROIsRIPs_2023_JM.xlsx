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G:\Mi unidad\"/>
    </mc:Choice>
  </mc:AlternateContent>
  <xr:revisionPtr revIDLastSave="0" documentId="13_ncr:1_{56C56897-4899-40B2-9E50-36E911D22A65}" xr6:coauthVersionLast="47" xr6:coauthVersionMax="47" xr10:uidLastSave="{00000000-0000-0000-0000-000000000000}"/>
  <bookViews>
    <workbookView xWindow="-120" yWindow="-120" windowWidth="20730" windowHeight="11040" tabRatio="669" xr2:uid="{00000000-000D-0000-FFFF-FFFF00000000}"/>
  </bookViews>
  <sheets>
    <sheet name="Reporte Operativa_2021" sheetId="6" r:id="rId1"/>
    <sheet name="Interna P. operativa" sheetId="1" r:id="rId2"/>
    <sheet name="Reporte EOperativa " sheetId="3" r:id="rId3"/>
    <sheet name="Reporte Tentativa Operación" sheetId="5" r:id="rId4"/>
    <sheet name="Cuadros estructuras internas" sheetId="9" r:id="rId5"/>
    <sheet name="Mitigantes" sheetId="8" r:id="rId6"/>
    <sheet name="Razones inusalidad" sheetId="10" r:id="rId7"/>
    <sheet name="Hoja1" sheetId="7" state="hidden" r:id="rId8"/>
  </sheets>
  <externalReferences>
    <externalReference r:id="rId9"/>
    <externalReference r:id="rId10"/>
  </externalReferences>
  <definedNames>
    <definedName name="_analista">[1]Parámetros!$C$13</definedName>
    <definedName name="_fecha_reporte">[1]Parámetros!$C$14</definedName>
    <definedName name="_gerente">[1]Parámetros!$C$11</definedName>
    <definedName name="_jefe">[1]Parámetros!$C$12</definedName>
    <definedName name="_periodo">[1]Definiciones!$F$8:$F$19</definedName>
    <definedName name="_proyecto">[1]Parámetros!$C$10</definedName>
    <definedName name="_responsables_valid">[1]!_responsables[Responsables]</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53" i="8" l="1"/>
  <c r="E153" i="8"/>
  <c r="F152" i="8"/>
  <c r="E152" i="8"/>
  <c r="F151" i="8"/>
  <c r="E151" i="8"/>
  <c r="B3" i="8"/>
  <c r="H41" i="1" l="1"/>
  <c r="H39" i="1"/>
  <c r="B39" i="1" l="1"/>
  <c r="H37" i="6" l="1"/>
  <c r="B37" i="6"/>
  <c r="H35" i="6"/>
  <c r="B35" i="6"/>
  <c r="G22" i="5" l="1"/>
  <c r="G20" i="5"/>
  <c r="G29" i="3"/>
  <c r="G27" i="3"/>
  <c r="B41" i="1" l="1"/>
  <c r="B22" i="5" l="1"/>
  <c r="B20" i="5"/>
  <c r="B29" i="3"/>
  <c r="B27" i="3"/>
</calcChain>
</file>

<file path=xl/sharedStrings.xml><?xml version="1.0" encoding="utf-8"?>
<sst xmlns="http://schemas.openxmlformats.org/spreadsheetml/2006/main" count="1737" uniqueCount="891">
  <si>
    <t xml:space="preserve">Campo </t>
  </si>
  <si>
    <t>Actividad</t>
  </si>
  <si>
    <t>1. Descripción de la operació (DO)</t>
  </si>
  <si>
    <t>Función</t>
  </si>
  <si>
    <t>1.1 Prioridad</t>
  </si>
  <si>
    <t>Opciones</t>
  </si>
  <si>
    <t>ALTA</t>
  </si>
  <si>
    <t>Descripción</t>
  </si>
  <si>
    <t>SIN PRIORIDAD</t>
  </si>
  <si>
    <t>Los demás supuestos no contemplados en ALTA</t>
  </si>
  <si>
    <t>1.2 Conocimiento del Cliente, usuario o empleado</t>
  </si>
  <si>
    <t>Sub-tipo</t>
  </si>
  <si>
    <t>No aplica</t>
  </si>
  <si>
    <t>1.2.1 Tipo de relación con el sujeto reportado</t>
  </si>
  <si>
    <t>Cliente</t>
  </si>
  <si>
    <t>Usuario</t>
  </si>
  <si>
    <t>Contrato de relación comercial</t>
  </si>
  <si>
    <t>Operación que termina en un periodo de tiempo corto</t>
  </si>
  <si>
    <t>Catálogo de Actividades de Identificación</t>
  </si>
  <si>
    <t>1.2.3 Nacionalidad y País de Nacimiento</t>
  </si>
  <si>
    <t>Nacionalidades</t>
  </si>
  <si>
    <t>Países</t>
  </si>
  <si>
    <t>Se deberá poner en el mismo renglón</t>
  </si>
  <si>
    <t>SIN PRIORIDAD//</t>
  </si>
  <si>
    <t>RELACIÓN CLIENTE//</t>
  </si>
  <si>
    <t>NACIONALIDAD MEXICANA PAIS DE NACIMIENTO MEXICO//</t>
  </si>
  <si>
    <t>1.3 Identificación y datos generales del producto o servicio</t>
  </si>
  <si>
    <t>Catálogo de oferta de entidad genérico.</t>
  </si>
  <si>
    <t>Se deberá tener un listado de los tipos de productos o servicios financieros de la Entidad:
crédito de auto
crédito de cuenta corriente
crédito hipotecario
crédito personal
crédito simple
factoraje financiero
crédito refaccionario
fideicomiso
créditos solidarios
crédito cuenta corriente</t>
  </si>
  <si>
    <t>1.3.2 Fecha de contratación</t>
  </si>
  <si>
    <t>Fecha de contratación</t>
  </si>
  <si>
    <t>PRODUCTO CRÉDITO AUTOMOTRIZ//</t>
  </si>
  <si>
    <t>FECHA CONTRATACIÓN 31ENE2018//</t>
  </si>
  <si>
    <t>1.3.3 Fecha inicio de relación comercial</t>
  </si>
  <si>
    <t xml:space="preserve">Fecha inicio </t>
  </si>
  <si>
    <t>INICIO RELACIÓN 15MAR2016//</t>
  </si>
  <si>
    <t>PARTICIPES PRESENTA COMO OBLIGADO SOLIDARIO A SU HIJO JUAN LOPEZ PEREZ DE 24 AÑOS DE EDAD, NACIONALIDAD MEXICANA, CON FECHA DE NACIMIENTO 22MAR1986//</t>
  </si>
  <si>
    <t>Identificación y datos generales del producto o servicio financiero</t>
  </si>
  <si>
    <t>Otros productos o servicios con que cuente el sujeto reportado y que fortalezcan la inusualidad, mencionando el número de identificación del producto o servicio y su tipo, así como el periodo,
monto reportado, moneda, saldo, frecuencia, entre otros. Si el sujeto no tiene otros productos o servicios, indicar “no tiene otros productos o servicios que fortalezcan la inusualidad.</t>
  </si>
  <si>
    <t>NO TIENE OTROS PRODUCTOS QUE FORTALEZCAN LA INUSUALIDAD//</t>
  </si>
  <si>
    <t>Ejemplo</t>
  </si>
  <si>
    <t>Sujeto reportado como partícipe de otros productos</t>
  </si>
  <si>
    <t>EL CLIENTE PARTICIPA COMO AVAL EN EL CREDITO SIMPLE DE SU ESPOSA JUANA PEREZ LOPEZ, EL CUAL TIENE UN SALDO INSOLUTO DE 12,000.00 MN AL 05JUL2018 Y SE ENCUENTRA VIGENTE Y AL CORRIENTE//</t>
  </si>
  <si>
    <t>1.4 Perfil transaccional</t>
  </si>
  <si>
    <t>1.4.1 Datos de perfil transaccional</t>
  </si>
  <si>
    <t>Número de operaciones realizadas en el periodo</t>
  </si>
  <si>
    <t>Monto total acumulado durante el periodo por tipo de operación</t>
  </si>
  <si>
    <t>Instrumento monetario y moneda</t>
  </si>
  <si>
    <t>País de envío o recpeción (en su caso)</t>
  </si>
  <si>
    <t>Zona geográfica de operación</t>
  </si>
  <si>
    <t>Origen y destino de los recursos</t>
  </si>
  <si>
    <t>En caso de que la relación comercial con el cliente no sea mayor a seis meses, se deberá indicar la información declarada por el cliente al inicio de la relación comercial, para determinar el perfil transaccional esperado y adicionalmente se podrá describir su comportamiento transaccional real, cuando menos de los tres últimos meses, dentro del referido periodo, indicando la distinción entre uno y otro. Cuando la relación de negocios con el cliente sea mayor a seis meses, se deberá incorporar la información del perfil transaccional determinado conforme a su comportamiento transaccional histórico en el periodo definido para el análisis, el cual no será menor a tres meses. El perfil transaccional no debe limitarse a la operativa inusual, sino considerar un periodo previo a la operativa, con la finalidad de brindar el panorama general del comportamiento del producto reportado que permita un análisis comparativo</t>
  </si>
  <si>
    <t>1.4.2 Saldo del contrato</t>
  </si>
  <si>
    <t>Saldo del contrato con fecha</t>
  </si>
  <si>
    <t>Se debe colocar el saldo del contrato considerando la fecha a dicho saldo</t>
  </si>
  <si>
    <t>SALDO DEL CONTRATO AL 05JUL2018 EL SALDO ES DE 0.00 MN//</t>
  </si>
  <si>
    <t>1.4.3 Antecedentes ROI</t>
  </si>
  <si>
    <t>Antecedentes de ROI's Previos</t>
  </si>
  <si>
    <t>Antecedentes de ROI’s previos: fecha de envío y breve descripción de la alerta.
Si no tiene, mencionar “no cuenta con reportes de operaciones inusuales previos”.</t>
  </si>
  <si>
    <t>2. Razón de la Inusualidad (RI)</t>
  </si>
  <si>
    <t>2.1 Alerta</t>
  </si>
  <si>
    <t>Tipo de alerta</t>
  </si>
  <si>
    <t>Tipo de alerta(s) que origina(n) el análisis</t>
  </si>
  <si>
    <t>Análisis de la alerta</t>
  </si>
  <si>
    <t>Mencionar los elementos o criterios por los que la alerta pasó a la siguiente fase de análisis, 
describiendo de manera clara y concisa la operación, hecho o escenario que motivó la alerta.
¿En qué consistió la operación o hecho alertado?
¿Existen alerta anteriores?, ¿son por la misma razón?, ¿fueron reportadas?
¿Cuáles son los elementos por los que no se descartó la alerta?</t>
  </si>
  <si>
    <t>Análisis del contexto del cliente, usuario o empleado</t>
  </si>
  <si>
    <t>En el caso de los sujetos relacionados con la operativa inusual, determinar y describir si existe o no una lógica 
de operación, de negocio y/o financiera para operar con ellos; analizando las operaciones y su relación o vínculo
con ellos. En caso de contar con datos de identificación de los sujetos relacionados como fecha de nacimiento o
de constitución, RFC, actividad económica o giro mercantil y localidad o país donde opera el relacionado,
mencionarlo. 
Para el caso de los ROIP ’s se deberá detallar la forma en cómo el empleado o funcionario participa en la
operativa inusual de tal forma que sea claro cómo su participación vulnera o evade la aplicación de lo dispuesto 
por la Ley de Instituciones de Crédito en relación con el 87-D de la Ley General de Organizaciones y
Actividades Auxiliares del Crédito y 95-Bis, así como mencionar si el o los cliente(s) involucrados fueron
reportados, y en su caso incluir la fecha de envío de dichos reportes.</t>
  </si>
  <si>
    <t xml:space="preserve">Preguntas a considerar:
- ¿ Ha cambiado su actividad desde el inicio de la relación?
- ¿Existe lógica económica o en base a su actividad para realizar las operaciones 
aparentemente irregulares?
- ¿Se identifican a los sujetos relacionados con las operaciones y existe una lógica para operar 
con ellos?
- Sus operaciones son acordes al comportamiento de la industria, a la zona geográfica donde 
opera, o presentan algún patrón muy diferente.
- ¿Existe congruencia entre la operativa del cliente y la naturaleza del contrato? </t>
  </si>
  <si>
    <t>2.4 Gestiones</t>
  </si>
  <si>
    <t>2.5 Determinación de la inusualidad</t>
  </si>
  <si>
    <t>Determinación de la inusualidad</t>
  </si>
  <si>
    <t xml:space="preserve">Los elementos concluyentes deben reflejar el resultado del análisis de las alertas y el contexto
del cliente, así como el razonamiento del porqué el reporte es inusual haciendo énfasis en los
indicadores detectados versus la forma de operar del cliente.
Describir cada uno de los indicadores asociados a la inusualidad y no darlos por 
sobreentendido, evaluando los de mayor peso y que identifican y determinan la inusualidad.
Identificar elementos, tendencias, escenarios o patrones posiblemente relacionados con 
LD/FT. 
Identificar operativas de riesgo relacionadas a otros delitos o indicadores de riesgo.
 Identificación de “conjunto de individuos relacionados con operaciones inusuales.
Preguntas a considerar:
- ¿Por qué se determinó como inusual la operativa y por qué se reporta?
- ¿Por qué rompe su perfil transaccional o de actividad?
- ¿Cuáles son los elementos relacionados a alguna tipología de LD o FT que se identifican? 
- ¿Cuáles son los indicadores relacionados a LD o FT que fueron identificados?
- ¿Se identifica relación con alguna actividad delictiva?
- ¿Qué elementos consideró el comité/oficial de cumplimiento para determinarlo como 
inusual? </t>
  </si>
  <si>
    <t>Resultado</t>
  </si>
  <si>
    <t>REPORTE DE OPERATIVA ROI'S | RIP'S</t>
  </si>
  <si>
    <t>Reporte a llenar</t>
  </si>
  <si>
    <t>EOPERATIVA</t>
  </si>
  <si>
    <t>EOPERATIVA//</t>
  </si>
  <si>
    <t>Funicon</t>
  </si>
  <si>
    <t>1.1 Tipo Reporte</t>
  </si>
  <si>
    <t>1.2 Tipo de relación con sujeto obligado</t>
  </si>
  <si>
    <t>1.4 Nacionalidad y País de Nacimiento</t>
  </si>
  <si>
    <t>Se deberá poner en el mismo renglón. En su caso: “no se cuenta con información suficiente para descartar homonimia”</t>
  </si>
  <si>
    <t>1.5 Tipo de Producto o servicio</t>
  </si>
  <si>
    <t>1.7 Status del producto</t>
  </si>
  <si>
    <t>Status del Producto</t>
  </si>
  <si>
    <t xml:space="preserve">Fecha y Monto </t>
  </si>
  <si>
    <t>Fecha y monto del último registro o movimiento realizado por el cliente o usuario reportado</t>
  </si>
  <si>
    <t>1.8 Fecha y monto</t>
  </si>
  <si>
    <t>1.9 Fecha contratación</t>
  </si>
  <si>
    <t>Fecha contratación</t>
  </si>
  <si>
    <t>Fecha de contratación del (los) producto(s) o servicio(s)</t>
  </si>
  <si>
    <t>1.10 Inicio rel. Comerial</t>
  </si>
  <si>
    <t>Fecha inicio</t>
  </si>
  <si>
    <t>1.11 Partícipes</t>
  </si>
  <si>
    <t>Partícipes</t>
  </si>
  <si>
    <t>1.12 Otros domicilios</t>
  </si>
  <si>
    <t>Otros Domicilios</t>
  </si>
  <si>
    <t>Otros domicilios, incluyendo, en su caso, teléfonos.</t>
  </si>
  <si>
    <t>ACTIVIDAD TIENDA DE ABARROTES//</t>
  </si>
  <si>
    <t>NACIONALIDAD MEXICANA, FECHA DE NACIMIENTO 29AGO1970, RFC ABCD123456EFG PAIS DE NACIMIENTO MEXICO //</t>
  </si>
  <si>
    <t>TIPO DE PRODUCTO CRÉDITO PERSONAL//</t>
  </si>
  <si>
    <t>PARTICIPES NO TIENE PARTICIPES //</t>
  </si>
  <si>
    <t>DETERMINACION DE LA INUSUALIDAD SE DETERMINA COMO INUSUAL YA  QUE EL CLIENTE LIQUIDO SU CREDITO AUTOMOTRIZ DURANTE LOS PRIMEROS MESES DEL CREDITO DEPOSITANDO UN MONTO ELEVADO EN EFECTIVO, SIN QUE JUSTIFICARA EL ORIGEN DE DICHOS RECURSOS ADEMAS DE QUE NO SE LOGRO LOCALIZAR AL CLIENTE NI POR TELEFONO NI EN EL DOMICILIO REGISTRADO, EL CUAL ADEMAS SE ENCUENTRA EN UNA ZONA QUE NO ES ACORDE AL VALOR  DEL VEHICULO 
ADQUIRIDO //</t>
  </si>
  <si>
    <t xml:space="preserve">CONTEXTO EL 05JUL2018 EL CLIENTE ACUDIO A LIQUIDAR EL CREDITO AUTOMOTRIZ DE UN VOLKS WAGEN  PASSAT QUE LE FUE OTORGADO, EL SALDO A LIQUIDAR ERA DE 244,000.00 MN EN EFECTIVO, SIN EMBARGO, LA ENTIDAD TIENE ESTABLECIDO UN LIMITE PARA LA RECEPCION DE RECURSOS EN LA CUENTA BANCARIA QUE TIENE EN BANCO XXX, POR LO QUE EL CLIENTE REALIZO CUATRO DEPOSITOS EL DIA 01JUL2018 POR 61,000.00 MN CADA UNO. ESTA  LIQUIDACION SE REALIZO A LOS SEIS MESES DE  HABER SIDO OTORGADO EL CREDITO, EL CUAL TÉNIA UN PLAZO DE 4 AÑOS.  DE MARZO A JUNIO DE 2018 EL CLIENTE HABIA REALIZADO EL PAGO DE LAS MENSUALIDADES DEL CREDITO CONFORME A LA TABLA  DE AMORTIZACION, LOS CUALES ERAN DE 8,000.00 MN Y UN ABONO A CAPITAL DE 20,000.00 MN. CONFORME A LA INFORMACION RECABADA EN LA CONTRATACION DEL CREDITO,  LOS INGRESOS DEL CLIENTE NO SON ACORDES AL MONTO EMPLEADO PARA LIQUIDAR EL CREDITO,  AL INDICAR QUE SUS INGRESOS MENSUALES ASCENDIAN A 25,000.00 MN// </t>
  </si>
  <si>
    <t>ANALISIS DE LA ALERTA  CLIENTE QUE LIQUIDO DE MANERA ANTICIPADA EL CREDITO AUTOMOTRIZ A LOS SEIS MESES DE HABER SIDO OTORGADO//</t>
  </si>
  <si>
    <t>ANTECEDENTES DE ROIS PREVIOS EL CLIENTE NO CUENTA CON ROIS PREVIOS//</t>
  </si>
  <si>
    <t xml:space="preserve">GESTIONES SE LE PREGUNTO AL CLIENTE EL ORIGEN DE LOS RECURSOS Y COMENTO  QUE ERAN UNA HERENCIA QUE LE HABÍAN DEJADO, SE LE SOLICITO EL DOCUMENTO QUE AVALARA DICHA ADQUISICION RESPONDIENDO QUE LO PRESENTARA AL DIA SIGUIENTE, SIN EMBARGO NO VOLVIO, POR LO QUE SE LE REALIZARON  MULTIPLES LLAMADAS TELEFONICAS AL NUMERO PROPORCIONADO PERO NUNCA CONTESTO MOTIVO POR EL CUAL SE PROCEDIO A VISITAR EL DOMICILIO REGISTRADO ENCONTRANDO QUE SE UBICA EN UNA ZONA DEL ESTADO  DE MEXICO CON CALLES SIN PAVIMENTAR Y LA PERSONA QUE ATEND I O AL EJECUTIVO EN EL DOMICILIO INDICO NO CONOCER AL CLIENTE// </t>
  </si>
  <si>
    <t>OTROS EL CLIENTE REGISTRA COMO DOMICILIO CALLE JAIME TORRES NUMERO 9 INTERIOR 274 COLONIA SANTO TOMAS DELEGACION ALVARO OBREGON, CIUDAD DE MEXICO, NUMERO DE TELEFONO 5512345678 //</t>
  </si>
  <si>
    <t>2.1 Descripción de la alerta</t>
  </si>
  <si>
    <t>Descripción de la alerta</t>
  </si>
  <si>
    <t>2.2 Acto o hecho</t>
  </si>
  <si>
    <t xml:space="preserve">Acto, hecho o situación con el que se relaciona al cliente o usuario.
</t>
  </si>
  <si>
    <t>Acto, hecho o situación con el que se relaciona al cliente o usuario.</t>
  </si>
  <si>
    <t>2.3 Estatus del sujeto reportado</t>
  </si>
  <si>
    <t>Estatus del sujeto reportado</t>
  </si>
  <si>
    <t xml:space="preserve">Estatus del sujeto reportado conforme a la fuente de información. En caso de desconocerlo, indicar “se desconoce el estatus del sujeto reportado”.
</t>
  </si>
  <si>
    <t>2.4 Fuente de información</t>
  </si>
  <si>
    <t>Fuente de información</t>
  </si>
  <si>
    <t>La fuente de donde se obtuvo la información del sujeto reportado, por ejemplo: periódicos, noticias, listas, etc</t>
  </si>
  <si>
    <t>2.5 Información adicional</t>
  </si>
  <si>
    <t>Información adicional</t>
  </si>
  <si>
    <t xml:space="preserve">Información adicional que fortalezca el reporte o, en su caso, menciona “sin información adicional”. </t>
  </si>
  <si>
    <t>ALERTA  CLIENTE MENCIONADO EN NOTA  PERIODISTICA //</t>
  </si>
  <si>
    <t>ACTO CON EL QUE SE LE RELACIONA EL CLIENTE APARECIO EN UNA NOTA  PERIODISTICA EN LA CUAL SE LE INVOLUCRA COMO PRESTA  NOMBRES DEL CARTEL DE SINALOA //</t>
  </si>
  <si>
    <t>FUENTE PERIODICO EL UNIVERSAL //</t>
  </si>
  <si>
    <t xml:space="preserve">2.5 Fecha de infomación </t>
  </si>
  <si>
    <t>Fecha de emisión</t>
  </si>
  <si>
    <t>Fecha e emisión de la fuente de información</t>
  </si>
  <si>
    <t>FECHA DE PUBLICACION 30AGO2018 //</t>
  </si>
  <si>
    <t>INFORMACION ADICIONAL SE REALIZO UNA BUSQUEDA EN L I S TA S  CONSULTADAS POR LA INSTITUCION PERO NO SE ENCONTRO COINCIDENCIA CON EL NOMBRE NI EL RFC DEL CLIENTE. LA DIRECCION GENERAL EMITIO UN COMUNICADO EN LA INTRANET ALERTANDO A TOMAR MEDIDAS CAUTELARES SI SE AVISTA  AL CLIENTE //</t>
  </si>
  <si>
    <t>ESTATUS DEL PRODUCTO CREDITO VIGENTE //</t>
  </si>
  <si>
    <t>ULTIMO MOVIMIENTO REALIZADO 01AGO2018 PAGO POR DOMICILIACION 10,000.00 MN //</t>
  </si>
  <si>
    <t>FECHA DE CONTRATACION DEL PRODUCTO 30NOV2017 //</t>
  </si>
  <si>
    <t>FECHA DE INICIO DE LA RELACION COMERCIAL 30NOV2017 //</t>
  </si>
  <si>
    <t>ESTATUS DEL SUJETO REPORTADO SEGUN LA NOTA  PERIODISTICA EL SUJETO REPORTADO  SE ENCUENTRA PROFUGO //</t>
  </si>
  <si>
    <t>REPORTE DE EOPERATIVA ROI'S | RIP'S</t>
  </si>
  <si>
    <t>TENTATIVA</t>
  </si>
  <si>
    <t xml:space="preserve">Señalar “TENTATIVA” </t>
  </si>
  <si>
    <t>TENTATIVA//</t>
  </si>
  <si>
    <t>1.3 RFC,Nacionalidad y País de Nacimiento</t>
  </si>
  <si>
    <t>Se deberá tener un listado de los tipos de productos o servicios financieros de la Entidad que se intentó contratar:
crédito de auto
crédito de cuenta corriente
crédito hipotecario
crédito personal
crédito simple
factoraje financiero
crédito refaccionario
fideicomiso
créditos solidarios
crédito cuenta corriente</t>
  </si>
  <si>
    <t>Fecha de intento de contratación</t>
  </si>
  <si>
    <t>1.6 Localidad</t>
  </si>
  <si>
    <t>Localidad</t>
  </si>
  <si>
    <t xml:space="preserve">Localidad donde se registró la tentativa de operación. </t>
  </si>
  <si>
    <t xml:space="preserve">Domicilio(s), teléfono(s) o algún dato de localización con que se cuente. En caso de no contar con información, indicar “No se cuenta con datos de localización”. </t>
  </si>
  <si>
    <t>Resultado Reporte de Operativa. Descripción de la operación</t>
  </si>
  <si>
    <t>Resultado Reporte de Operativa. Razón de la inusualidad</t>
  </si>
  <si>
    <t>Resultado Reporte de Eoperativa. Descripción de la inusualidad</t>
  </si>
  <si>
    <t>Resultado Reporte de EOperativa. Razón de la inusualidad</t>
  </si>
  <si>
    <t>Resultado Reporte de Tentativa. Descripción de la inusualidad</t>
  </si>
  <si>
    <t>Resultado Reporte de Tentativa. Razón de la inusualidad</t>
  </si>
  <si>
    <t>24 HORAS TENTATIVA</t>
  </si>
  <si>
    <t xml:space="preserve">Señalar “24 HORAS TENTATIVA” </t>
  </si>
  <si>
    <t>ACTIVIDAD COMERCIALIZADOR DE AUTOPARTES "AUTOPARTES TURU S.A DE C.V. DIRECTOR GENERAL//</t>
  </si>
  <si>
    <t>Se deberá poner en el mismo renglón especificando el país y si tiene doble nacionalidad se debe especificar la nacionalidad y el páis de nacimiento.</t>
  </si>
  <si>
    <t>1.3.1 Tipo de Producto o servicio financiero reportado</t>
  </si>
  <si>
    <t>Se deberá tener un listado de los tipos de productos o servicios financieros de la Entidad que formen parte de la inusualidad:
crédito de auto
crédito de cuenta corriente
crédito hipotecario
crédito personal
crédito simple
factoraje financiero
crédito refaccionario
fideicomiso
créditos solidarios
crédito cuenta corriente</t>
  </si>
  <si>
    <t>Catálogo de oferta de entidad genérico. (Evitar uso de nombres comerciales)</t>
  </si>
  <si>
    <t>Fecha de contrato en la que se firma (no de activación)</t>
  </si>
  <si>
    <t>1.3.4 Partícipes y/o relacionados</t>
  </si>
  <si>
    <t>Titular, cotitulares, terceros autorizados, representante legal, propietario real, proveedor de recursos, obligado solidario, apoderado legal, beneficiarios, entre otros. En caso de no tener partícipes indicar "No tiene partípes"
Describir relación y/o parentezco,nombre completo, edad, nacionalidad y fecha de nacimiento del partícipe.</t>
  </si>
  <si>
    <t>a) Partícipes del contrato
b) No tiene paríticipes.
c) No tiene relacionados.</t>
  </si>
  <si>
    <t>Fecha inicial de la relación comercial del cliente (puede coincidir con la fecha del contrato o puede ser anterior)</t>
  </si>
  <si>
    <t>1.3.5 Otros productos o servicios que fortalezcan la inusualidad.</t>
  </si>
  <si>
    <t>1.3.6 Participación en otros productos o servicios que formen parte del análisis</t>
  </si>
  <si>
    <t>Mencionar si el sujeto es partícipe en otros productos que formen parte de la operativa reportada, en su caso, en aquellos productos o servicios que fortalezcan la inusualidad y que formen parte del proceso de análisis de la entidad, indicando el nombre del titular del producto, el tipo de producto o servicio. Si no existe participación en otros productos, indicar “no participa en otros productos o servicios que formen parte del análisis".</t>
  </si>
  <si>
    <t>Geolocalización</t>
  </si>
  <si>
    <t>En caso de que la relación comercial con el cliente no sea mayor a seis meses, se deberá indicar la información declarada por el cliente al inicio de la relación comercial, para determinar el perfil transaccional esperado y adicionalmente se podrá describir su comportamiento transaccional real, cuando menos de los tres últimos meses, dentro del referido periodo, indicando la distinción entre uno y otro. Cuando la relación de negocios con el cliente sea mayor a seis meses, se deberá incorporar la información del perfil transaccional determinado conforme a su comportamiento transaccional histórico en el periodo definido para el análisis, el cual no será menor a tres meses. El perfil transaccional no debe limitarse a la operativa inusual, sino considerar un periodo previo a la operativa, con la finalidad de brindar el panorama general del comportamiento del producto reportado que permita un análisis comparativo. En caso de medios no presenciales considerar los elementos referentes a la Geolocalización.</t>
  </si>
  <si>
    <t>Se debe colocar el saldo del contrato considerando la fecha a dicho saldo. En caso de que no se cuente con esta información, se deberá mencionar: "Saldo no disponible debido a que el tipo de servicio es (indicarlo)".</t>
  </si>
  <si>
    <t>2.1 Alerta (s)</t>
  </si>
  <si>
    <t>2.2 Análisis de la(s) alerta (s)</t>
  </si>
  <si>
    <t>2.3 Análisis del Contexto del Cliente</t>
  </si>
  <si>
    <t>1.2 Conocimiento del empleado</t>
  </si>
  <si>
    <t>Exempleado</t>
  </si>
  <si>
    <t>1.2.2 Periodo laboral</t>
  </si>
  <si>
    <t>Fecha de inicio y fin de la relación laboral</t>
  </si>
  <si>
    <t>Catálogo de Actividades de Identificación y puesto en la entidad</t>
  </si>
  <si>
    <t>1.3.7 Participación en otros productos o servicios que formen parte del análisis</t>
  </si>
  <si>
    <t>Otros productos que sean parte del análisis</t>
  </si>
  <si>
    <t>NO PARTICIPA EN OTROS SERVICIOS QUE FORMEN PARTE DEL ANÁLISIS//</t>
  </si>
  <si>
    <t>Alta</t>
  </si>
  <si>
    <t>Sin Prioridad</t>
  </si>
  <si>
    <t>1.2.1 Relación con el sujeto</t>
  </si>
  <si>
    <t xml:space="preserve">Empleado </t>
  </si>
  <si>
    <t>Se debe especificar si la relación laboral se dio por terminada derivado de la inusualidad reportada.</t>
  </si>
  <si>
    <t>EXEMPLEADO, SE EXTINGUE LA RELACIÓN LABORAL A CAUSA DE LA INUSUALIDAD REPORTADA//</t>
  </si>
  <si>
    <t>EMPLEADO DE LA INSTITUCIÓN//</t>
  </si>
  <si>
    <t>En el caso de un empleado activo se debe especificar.</t>
  </si>
  <si>
    <t>Indicar la fecha de inicio de la relación laboral de la institución con el empleado y la fecha en la que se dio por concluida si fuese el caso o si es actual, a la fecha en que se consultó.</t>
  </si>
  <si>
    <t xml:space="preserve">GERENTE CORPORATIVO NO SE TIENE CONOCIMIENTO DE OTRA ACTIVIDAD ECONÓMICA//
GERENTE CORPORATIVO DECLARÓ CONTAR CON INGRESOS ADICIONALES POR PARTE DE ASESORÍA INDEPENDIENTE//
</t>
  </si>
  <si>
    <t>La actividad económica del sujeto reportado, la cual debe mencionar el puesto desempeñado del sujeto reportado (gerente de sucursal, subgerente, asesor, etc.) y si cuenta con información sobre alguna actividad económica adicional, en caso de que no cuente con información sobre una actividad económica adicional del sujeto, se deberá mencionar, posterior a la descripción del puesto.
En caso de contar con información sobre una actividad económica adicional se debe mencionar el nombre de la empresa o actividad desempeñada, puesto y giro mercantil</t>
  </si>
  <si>
    <t>02008202 Actual 0202201//
02082020 al 02022021//</t>
  </si>
  <si>
    <t>1.2.4 Nacionalidad y País de Nacimiento</t>
  </si>
  <si>
    <t>Doble nacionalidad</t>
  </si>
  <si>
    <t xml:space="preserve">Nacionalidad y/o país de nacimiento </t>
  </si>
  <si>
    <t>NACIONALIDAD ESPAÑOLA, BOLIVIANA PAIS DE NACIMIENTO BOLIVIA//</t>
  </si>
  <si>
    <t>Deberá mencionar nacionalidad y/o el país de nacimiento del sujeto reportado, evitando hacer uso de terminología general como “Nacional” o “Extranjero”, sino especificar el país.</t>
  </si>
  <si>
    <t>Se deberá poner en el mismo renglón.</t>
  </si>
  <si>
    <t>1.3.1 Titular del servicio relacionado a la Operación relacionado</t>
  </si>
  <si>
    <t>Se debe especificar si la inusualidad se presentó en un servicio contratado por el empleado (el empleado es el titular) o si está relacionado con un producto o servicio impartido hacia un cliente (el titular es el cliente), en caso de que se den ambos supuestos, debe especificarse.</t>
  </si>
  <si>
    <t>EL EMPLEADO JUAN PEREZ ES EL TITULAR//
EL EMPLEADO JUAN PEREZ ES AVAL DE JOSÉ LÓPEZ//</t>
  </si>
  <si>
    <t>Depósitos, préstamos o créditos, tarjetas de débito o recargables, abono y descuento en nómina, contratos de arrendamiento financiero, entre otros.</t>
  </si>
  <si>
    <t>Tipo de producto(s) o servicio(s) impartido(s) y/o, en su caso, contratado(s) por el empleado, que forme(n) parte de la inusualidad reportada, se debe especificar si el servicio es contratado por el empleado o desempeñado por él hacia uno o varios clientes, mencionando el nombre general del producto, evitando hacer uso de nombres comerciales o terminología propia de la institución, de la cual la autoridad no tiene conocimiento.</t>
  </si>
  <si>
    <t>PRODUCTO CRÉDITO SIMPLE//</t>
  </si>
  <si>
    <t>1.3.2 Tipo de Producto o servicio</t>
  </si>
  <si>
    <t xml:space="preserve">1.3.3 Fecha de contratación del o los productos contratados. </t>
  </si>
  <si>
    <t>Fecha en la que se firmó el contrato de prestación de servicios celebrado con el cliente relacionado con el empleado y/o en su caso, con del instrumento contratado por el empleado, en caso de que se encuentre relacionada con los dos supuestos, se debe indicar a quién pertenece cada instrumento.</t>
  </si>
  <si>
    <t>1.3.4 Fecha inicio de relación comercial</t>
  </si>
  <si>
    <t>Fecha de inicio de la relación comercial del cliente relacionado con la inusualidad, o en su caso, el empleado, en caso de que se remitan ambas, se debe especificar a quien pertenece cada una.</t>
  </si>
  <si>
    <t>Titular, cotitulares, terceros autorizados, representante legal, propietario real, proveedor de recursos, obligado solidario, y apoderado legal, beneficiarios, entre otros;</t>
  </si>
  <si>
    <t xml:space="preserve">1.3.5 Partícipes y/o relacionados </t>
  </si>
  <si>
    <t>Describir relación y/o parentezco,nombre completo, edad, nacionalidad y fecha de nacimiento del partícipe. En caso de contar con datos de identificación de ellos, mencionarlos. Si el contrato no tiene partícipes, indicar “No tiene partícipes”.</t>
  </si>
  <si>
    <t>PARTICIPES PRESENTA COMO OBLIGADO SOLIDARIO A SU HIJO JUAN LOPEZ PEREZ DE 24 AÑOS DE EDAD, NACIONALIDAD MEXICANA, CON FECHA DE NACIMIENTO 22MAR1986//
NO TIENE PARTÍCIPES//</t>
  </si>
  <si>
    <t>1.3.6. Participación en otros productos o servicios:</t>
  </si>
  <si>
    <t>Mencionar si el sujeto es partícipe en otros productos que formen parte de la operativa reportada, en su caso, en aquellos productos o servicios que fortalezcan la inusualidad y que formen parte del proceso de análisis de la entidad, indicando el número de identificación del servicio y su tipo, así como el periodo, monto reportado, moneda, saldo, frecuencia, entre otros. Si no existe participación en otros productos indicarlo.</t>
  </si>
  <si>
    <t>EL CLIENTE PARTICIPA COMO AVAL EN EL CREDITO SIMPLE DE SU ESPOSA JUANA PEREZ LOPEZ, CONTRATO 1502, TIPO DE PRODUCTO CRÉDITO SIMPLE, PRIODO MAYO 2021, MONTO REPORTADO 15'000.00 MN, EL CUAL TIENE UN SALDO INSOLUTO DE 12,000.00 MN AL 05JUL2018 Y SE ENCUENTRA VIGENTE Y AL CORRIENTE CON PAGOS MENSUALES//</t>
  </si>
  <si>
    <t>Mencionar la participación en otros productos o servicios relacionados que formen parte de la operativa reportada o, en su caso, aquellos que fortalezcan la inusualidad o participación del empleado, mencionando indicando el nombre del titular del producto o servicio, el tipo de producto o servicio. Si no participa en otros indicarlo.</t>
  </si>
  <si>
    <t>Perfil Conductual</t>
  </si>
  <si>
    <t>Actividades, conductas o comportamientos habituales identificados sobre el Sujeto Reportado que no son transacciones determinadas por la Entidad conforme a la política de conocimiento, a la información proporcionada por Sujeto Reportado respecto de su actividad económica, nivel de ingresos, patrimonio, etc., y la experiencia de la Entidad por la relación histórica con el mismo.</t>
  </si>
  <si>
    <t>Tratándose de aquellas Operaciones realizadas de forma no presencial, se deberá tomar en cuenta la Geolocalización del Dispositivo de donde se lleve a cabo.</t>
  </si>
  <si>
    <t>Saldo de la cuenta</t>
  </si>
  <si>
    <t xml:space="preserve">Se debe colocar el saldo del contrato considerando la fecha a dicho saldo, en caso de que por la naturaleza del servicio no se cuente con esta información, deberá mencionarlo. </t>
  </si>
  <si>
    <t>Antecedentes de ROIP's Previos</t>
  </si>
  <si>
    <t>SALDO DE LA CUENTA AL 05JUL2018 EL SALDO ES DE 0.00 MN//
SALDO NO DISPONIBLE DEBIDO A QUE EL TIPO DE SERVICIO ES (INDICARLO) //</t>
  </si>
  <si>
    <t>Antecedentes de ROI’s previos: fecha de envío y breve descripción de la alerta, Indicar los procedimientos de debida diligencia aplicados.
Si no tiene, mencionarlo</t>
  </si>
  <si>
    <t>ANTECEDENTES DE ROIS PREVIOS 21JUN2020, 
CAMBIO DE GRADO DE RIESGO DE MEDIO A ALTO, SE APLICÓ UN CUESTIONARIO DE DEBIDA DILIGENCIA Y SE REALIZÓ UNA VISITA DOMICILIARIA AL DOMICILIO DECLARADO POR EL CLIENTE//
EL CLIENTE NO CUENTA CON REPORTES DE OPERACIONES INUSUALES PREVIOS//</t>
  </si>
  <si>
    <t>2.5.2 Saldo de la cuenta</t>
  </si>
  <si>
    <t>1.4.2 Antecedentes ROIP</t>
  </si>
  <si>
    <t>ALERTA LIQUIDACION ANTICIPADA DE CRÉDITO//</t>
  </si>
  <si>
    <t>2.2 Análisis de la alerta</t>
  </si>
  <si>
    <t>ANALISIS DE LA ALERTA CLIENTE QUE LIQUIDO DE MANERA ANTICIPADA EL CREDITO AUTOMOTRIZ A LOS SEIS MESES DE HABER SIDO OTORGADO//</t>
  </si>
  <si>
    <t>2.3 Análisis del Contexto del empleado</t>
  </si>
  <si>
    <t xml:space="preserve">Se deberá detallar la forma en cómo el empleado o funcionario participa en la operativa inusual de tal forma que sea claro cómo su participación vulnera o evade la aplicación de lo dispuesto por las DCG, así como mencionar si el o los clientes involucrados fueron reportados, así como si existieron empleados adicionales involucrados y su participación dentro de la operativa inusual. 
Si cuentan con reporte(s) previo(s), indicar fecha, vínculo y, en su caso, una breve descripción de la inusualidad o escenario reportado.
Detallar fecha o periodo, tipo de operación instrumento monetario, monto, moneda, localidad donde se llevan a cabo las operaciones, frecuencia, origen y destino de los recursos, cuando se tengan los elementos de identificación.
Si no es acorde a su perfil transaccional detallar en qué reside la discrepancia o desviación, es necesario realizar comparativas de la operativa inusual versus la actividad económica y/o el perfil transaccional histórico, analizar y describir los elementos objetivos por los que la operativa no es acorde al comportamiento transaccional habitual o histórico del titular de la cuenta o servicio relacionado con la inusualidad. 
En el caso de personas relacionadas, determinar y describir si existe o no una lógica de operación, de negocio y/o financiera para operar con ellos; analizando las operaciones y su relación o vínculo con ellos. En caso de contar con datos de identificación mencionarlos. </t>
  </si>
  <si>
    <t>2.3.1 Análisis del contexto del empleado</t>
  </si>
  <si>
    <t>2.3.2 Reportes relacionados a la inusualidad</t>
  </si>
  <si>
    <t>CONTEXTO EL 05JUL2020 EL CLIENTE ACUDIO A LIQUIDAR EL CREDITO AUTOMOTRIZ DE UN VOLKS WAGEN  PASSAT QUE LE FUE OTORGADO, EL SALDO A LIQUIDAR ERA DE 244,000.00 MN EN EFECTIVO, SIN EMBARGO, LA ENTIDAD TIENE ESTABLECIDO UN LIMITE PARA LA RECEPCION DE RECURSOS EN LA CUENTA BANCARIA QUE TIENE EN BANCO XXX, POR LO QUE EL CLIENTE REALIZO CUATRO DEPOSITOS EL DIA 01JUL2018 POR 61,000.00 MN CADA UNO. ESTA  LIQUIDACION SE REALIZO A LOS SEIS MESES DE  HABER SIDO OTORGADO EL CREDITO, EL CUAL TÉNIA UN PLAZO DE 4 AÑOS.  DE MARZO A JUNIO DE 2018 EL CLIENTE HABIA REALIZADO EL PAGO DE LAS MENSUALIDADES DEL CREDITO CONFORME A LA TABLA  DE AMORTIZACION, LOS CUALES ERAN DE 8,000.00 MN Y UN ABONO A CAPITAL DE 20,000.00 MN. CONFORME A LA INFORMACION RECABADA EN LA CONTRATACION DEL CREDITO,  LOS INGRESOS DEL CLIENTE NO SON ACORDES AL MONTO EMPLEADO PARA LIQUIDAR EL CREDITO,  AL INDICAR QUE SUS INGRESOS MENSUALES ASCENDIAN A 25,000.00 MN//</t>
  </si>
  <si>
    <t>NO CUENTA CON REPORTES RELACIONADOS A LA INUSUALIDAD//</t>
  </si>
  <si>
    <t xml:space="preserve">Se debe especificar si se ha realizado el envío de un ROI o ROIP adicional relacionado a la inusualidad reportada, éstos pueden ser sobre algún cliente 23 relacionado u otro empleado que participara la consecución de estos fines, debiendo especificar fecha de envío, el folio y una breve descripción. En caso de no contar con reportes de esta naturaleza, indicarlo. </t>
  </si>
  <si>
    <t>GESTIONES SE LE PREGUNTO AL CLIENTE EL ORIGEN DE LOS RECURSOS Y COMENTO  QUE ERAN UNA HERENCIA QUE LE HABÍAN DEJADO, SE LE SOLICITO EL DOCUMENTO QUE AVALARA DICHA ADQUISICION RESPONDIENDO QUE LO PRESENTARA AL DIA SIGUIENTE, SIN EMBARGO NO VOLVIO, POR LO QUE SE LE REALIZARON  MULTIPLES LLAMADAS TELEFONICAS AL NUMERO PROPORCIONADO PERO NUNCA CONTESTO MOTIVO POR EL CUAL SE PROCEDIO A VISITAR EL DOMICILIO REGISTRADO ENCONTRANDO QUE SE UBICA EN UNA ZONA DEL ESTADO  DE MEXICO CON CALLES SIN PAVIMENTAR Y LA PERSONA QUE ATEND I O AL EJECUTIVO EN EL DOMICILIO INDICO NO CONOCER AL CLIENTE// 
NO EXISTEN GESTIONES ADICIONALES QUE APORTEN LA INUSUALIDAD//</t>
  </si>
  <si>
    <t>2.5.1 Determinación de la inusualidad</t>
  </si>
  <si>
    <t>2.2.1 Análisis de la alerta</t>
  </si>
  <si>
    <t>2.1.1Tipo de alerta</t>
  </si>
  <si>
    <t xml:space="preserve">Los elementos concluyentes deben reflejar el resultado del análisis de las alertas y el contexto
del cliente, así como el razonamiento del porqué el reporte es inusual haciendo énfasis en los indicadores detectados versus la forma de operar del cliente.
Describir cada uno de los indicadores asociados a la inusualidad y no darlos por sobreentendido,  evaluando los de mayor peso y que identifican y determinan la inusualidad.
Identificar elementos, tendencias, escenarios o patrones posiblemente relacionados con 
LD/FT. 
Identificar operativas de riesgo relacionadas a otros delitos o indicadores de riesgo.
Identificación de “conjunto de individuos relacionados con operaciones inusuales.
Preguntas a considerar:
- ¿Por qué se determinó como inusual la operativa y por qué se reporta?
- ¿Por qué rompe su perfil transaccional o de actividad?
- ¿Cuáles son los elementos relacionados a alguna tipología de LD o FT que se identifican? 
- ¿Cuáles son los indicadores relacionados a LD o FT que fueron identificados?
- ¿Se identifica relación con alguna actividad delictiva?
- ¿Qué elementos consideró el comité/oficial de cumplimiento para determinarlo como 
inusual? </t>
  </si>
  <si>
    <t xml:space="preserve">Señalar “EOPERATIVA” </t>
  </si>
  <si>
    <t>Empleado o exempleado</t>
  </si>
  <si>
    <t>Funcionario de la estructura, debe especificar si la relación laboral se dio por terminada derivado de la inusualidad por la que se envía el reporte</t>
  </si>
  <si>
    <t xml:space="preserve">Se deberá poner en el mismo renglón, Mencionar nacionalidad y/o el país de nacimiento del sujeto reportado, evitando hacer uso de terminología general como “Nacional” o “Extranjero”, sino especificar el país, así como la fecha de nacimiento, RFC, país de nacimiento o bien, cualquier otro dato con el que se cuente, por el que se tiene certeza de que el sujeto reportado corresponde al que se identificó en las listas indicadas. </t>
  </si>
  <si>
    <t>1.6 Saldo total</t>
  </si>
  <si>
    <t>SALDO DEL CONTRATO AL 05JUL2021//</t>
  </si>
  <si>
    <t>Estatus de (los) producto(s) o servicio(s) financiero(s) contratados (Por ejemplo: crédito 
liquidado). En caso de status inactivo o bloqueado especificar motivo.</t>
  </si>
  <si>
    <t xml:space="preserve">Partícipes: titular, cotitulares, terceros autorizados, representante legal, apoderado legal, beneficiarios, obligado solidario, aval, entre otros. Si la cuenta no tiene partícipes, indicarlo. </t>
  </si>
  <si>
    <t>2.6 Información adicional</t>
  </si>
  <si>
    <t>SIN PRIORIDAD// EMPLEADO DE LA INSTITUCIÓN// EXEMPLEADO, SE EXTINGUE LA RELACIÓN LABORAL A CAUSA DE LA INUSUALIDAD REPORTADA// 02008202 Actual 0202201//
02082020 al 02022021// GERENTE CORPORATIVO NO SE TIENE CONOCIMIENTO DE OTRA ACTIVIDAD ECONÓMICA//
GERENTE CORPORATIVO DECLARÓ CONTAR CON INGRESOS ADICIONALES POR PARTE DE ASESORÍA INDEPENDIENTE//
 NACIONALIDAD MEXICANA PAIS DE NACIMIENTO MEXICO// NACIONALIDAD ESPAÑOLA, BOLIVIANA PAIS DE NACIMIENTO BOLIVIA// EL EMPLEADO JUAN PEREZ ES EL TITULAR//
EL EMPLEADO JUAN PEREZ ES AVAL DE JOSÉ LÓPEZ// PRODUCTO CRÉDITO SIMPLE// FECHA CONTRATACIÓN 31ENE2018// INICIO RELACIÓN 15MAR2016// PARTICIPES PRESENTA COMO OBLIGADO SOLIDARIO A SU HIJO JUAN LOPEZ PEREZ DE 24 AÑOS DE EDAD, NACIONALIDAD MEXICANA, CON FECHA DE NACIMIENTO 22MAR1986//
NO TIENE PARTÍCIPES// EL CLIENTE PARTICIPA COMO AVAL EN EL CREDITO SIMPLE DE SU ESPOSA JUANA PEREZ LOPEZ, CONTRATO 1502, TIPO DE PRODUCTO CRÉDITO SIMPLE, PRIODO MAYO 2021, MONTO REPORTADO 15'000.00 MN, EL CUAL TIENE UN SALDO INSOLUTO DE 12,000.00 MN AL 05JUL2018 Y SE ENCUENTRA VIGENTE Y AL CORRIENTE CON PAGOS MENSUALES// NO PARTICIPA EN OTROS SERVICIOS QUE FORMEN PARTE DEL ANÁLISIS// PERFIL TRANSACCIONAL EN EL PERIODO DEL 01MAR2018 AL 30JUN2018 EL CLIENTE REALIZO 7 PAGOS A SU CREDITO EN LA CUENTA DE LA SOFOM, LOS CUALES FUERON REGISTRADOS EN EFECTIVO POR UN MONTO ACUMULADO DE 36,000.00 MN QUE CORRESPONDEN AL PAGO DE 6 DE SUS AMORTIZACIONES Y UN ABONO A CAPITAL POR 20,000.00 MN, EL SUJETO DECLARO AL CONTRATAR EL PRODUCTO QUE SE DEDICABA A LA COMERCIALIZACION DE CARNES Y QUE CADA SEIS MESES APORTARIA 20,000.00 MN A CAPITAL DEL PRESTAMO OTORGADO A 4 AÑOS, PRESENTANDO INFORMACIÓN APÓCRIFA // SALDO DE LA CUENTA AL 05JUL2018 EL SALDO ES DE 0.00 MN//
SALDO NO DISPONIBLE DEBIDO A QUE EL TIPO DE SERVICIO ES (INDICARLO) // ANTECEDENTES DE ROIS PREVIOS 21JUN2020, 
CAMBIO DE GRADO DE RIESGO DE MEDIO A ALTO, SE APLICÓ UN CUESTIONARIO DE DEBIDA DILIGENCIA Y SE REALIZÓ UNA VISITA DOMICILIARIA AL DOMICILIO DECLARADO POR EL CLIENTE//
EL CLIENTE NO CUENTA CON REPORTES DE OPERACIONES INUSUALES PREVIOS//</t>
  </si>
  <si>
    <t>ALERTA LIQUIDACION ANTICIPADA DE CRÉDITO// ANALISIS DE LA ALERTA CLIENTE QUE LIQUIDO DE MANERA ANTICIPADA EL CREDITO AUTOMOTRIZ A LOS SEIS MESES DE HABER SIDO OTORGADO// CONTEXTO EL 05JUL2020 EL CLIENTE ACUDIO A LIQUIDAR EL CREDITO AUTOMOTRIZ DE UN VOLKS WAGEN  PASSAT QUE LE FUE OTORGADO, EL SALDO A LIQUIDAR ERA DE 244,000.00 MN EN EFECTIVO, SIN EMBARGO, LA ENTIDAD TIENE ESTABLECIDO UN LIMITE PARA LA RECEPCION DE RECURSOS EN LA CUENTA BANCARIA QUE TIENE EN BANCO XXX, POR LO QUE EL CLIENTE REALIZO CUATRO DEPOSITOS EL DIA 01JUL2018 POR 61,000.00 MN CADA UNO. ESTA  LIQUIDACION SE REALIZO A LOS SEIS MESES DE  HABER SIDO OTORGADO EL CREDITO, EL CUAL TÉNIA UN PLAZO DE 4 AÑOS.  DE MARZO A JUNIO DE 2018 EL CLIENTE HABIA REALIZADO EL PAGO DE LAS MENSUALIDADES DEL CREDITO CONFORME A LA TABLA  DE AMORTIZACION, LOS CUALES ERAN DE 8,000.00 MN Y UN ABONO A CAPITAL DE 20,000.00 MN. CONFORME A LA INFORMACION RECABADA EN LA CONTRATACION DEL CREDITO,  LOS INGRESOS DEL CLIENTE NO SON ACORDES AL MONTO EMPLEADO PARA LIQUIDAR EL CREDITO,  AL INDICAR QUE SUS INGRESOS MENSUALES ASCENDIAN A 25,000.00 MN// GESTIONES SE LE PREGUNTO AL CLIENTE EL ORIGEN DE LOS RECURSOS Y COMENTO  QUE ERAN UNA HERENCIA QUE LE HABÍAN DEJADO, SE LE SOLICITO EL DOCUMENTO QUE AVALARA DICHA ADQUISICION RESPONDIENDO QUE LO PRESENTARA AL DIA SIGUIENTE, SIN EMBARGO NO VOLVIO, POR LO QUE SE LE REALIZARON  MULTIPLES LLAMADAS TELEFONICAS AL NUMERO PROPORCIONADO PERO NUNCA CONTESTO MOTIVO POR EL CUAL SE PROCEDIO A VISITAR EL DOMICILIO REGISTRADO ENCONTRANDO QUE SE UBICA EN UNA ZONA DEL ESTADO  DE MEXICO CON CALLES SIN PAVIMENTAR Y LA PERSONA QUE ATEND I O AL EJECUTIVO EN EL DOMICILIO INDICO NO CONOCER AL CLIENTE// 
NO EXISTEN GESTIONES ADICIONALES QUE APORTEN LA INUSUALIDAD// DETERMINACION DE LA INUSUALIDAD SE DETERMINA COMO INUSUAL YA  QUE EL CLIENTE LIQUIDO SU CREDITO AUTOMOTRIZ DURANTE LOS PRIMEROS MESES DEL CREDITO DEPOSITANDO UN MONTO ELEVADO EN EFECTIVO, SIN QUE JUSTIFICARA EL ORIGEN DE DICHOS RECURSOS ADEMAS DE QUE NO SE LOGRO LOCALIZAR AL CLIENTE NI POR TELEFONO NI EN EL DOMICILIO REGISTRADO, EL CUAL ADEMAS SE ENCUENTRA EN UNA ZONA QUE NO ES ACORDE AL VALOR  DEL VEHICULO 
ADQUIRIDO //</t>
  </si>
  <si>
    <t>Catálogo de actividades y considerar la actividad declarada en los datos de identificación. En caso de no contar con información, indicar “Se desconoce la actividad económica”.</t>
  </si>
  <si>
    <t>Se deberá poner en el mismo renglón. Mecionar la nacionalidad, fecha de nacimiento, RFC, país de nacimiento o bien, cualquier otro dato de identificación con el que se cuente; en caso de haber decidido no establecer una relación comercial con el sujeto, por identificarlo en alguna lista, brindar los elementos por los que se descartó homonimia.</t>
  </si>
  <si>
    <t>1.5. Fecha en que el sujeto reportado intentó llevar a cabo la contratación.</t>
  </si>
  <si>
    <t>LOCALIDAD ATIZAPAN DE ZARAGOZA //</t>
  </si>
  <si>
    <t>1.12 Domicilios</t>
  </si>
  <si>
    <t>DOMICILIOS EL CLIENTE REGISTRA COMO DOMICILIO CALLE JAIME TORRES NUMERO 9 INTERIOR 274 COLONIA SANTO TOMAS DELEGACION ALVARO OBREGON, CIUDAD DE MEXICO, NUMERO DE TELEFONO 5512345678//</t>
  </si>
  <si>
    <t>ALERTA CLIENTE MENCIONADO EN NOTA  PERIODISTICA //</t>
  </si>
  <si>
    <t>En caso de que la decisión de no establecer una relación comercial con el sujeto reportado se deba a información identificada en alguna fuente, mencionarla. Si no se cuenta con alguna fuente de información, mencionar “No aplica” a excepción de aquella información con la que, por ley, este obligado a contar.</t>
  </si>
  <si>
    <t>2.2 Funte de información</t>
  </si>
  <si>
    <t>Fuente del acto, hecho o situación con el que se relaciona al cliente o usuario.</t>
  </si>
  <si>
    <t>Actas de sesión del Comité de Comunicación y Control o Reportes de funciones y obligaciones del Oficial de Cumplimiento</t>
  </si>
  <si>
    <t>Mitigante:</t>
  </si>
  <si>
    <t>1. Manual de Cumplimiento</t>
  </si>
  <si>
    <t>Núm.</t>
  </si>
  <si>
    <t>Disp.</t>
  </si>
  <si>
    <t>Mitigante</t>
  </si>
  <si>
    <t>Enero</t>
  </si>
  <si>
    <t>Disp. y Lineam.</t>
  </si>
  <si>
    <t>1. Manual de Cumplimiento
Actualización del Manual de Cumplimiento</t>
  </si>
  <si>
    <t>Estatus actividad</t>
  </si>
  <si>
    <t>Cuenta con evidencia</t>
  </si>
  <si>
    <t>Comentarios del OC</t>
  </si>
  <si>
    <t>Revisiones, resoluciones y dictaminaciones del CCC</t>
  </si>
  <si>
    <t>54a</t>
  </si>
  <si>
    <t>El Manual de Cumplimiento se encuentra en actualización.</t>
  </si>
  <si>
    <t>35a, frac. I
39a, frac. I</t>
  </si>
  <si>
    <t>El Manual se está presentando al Comité de Comunicación y Control (o la persona establecida en su Manual de Cumplimiento) para la revisión de los avances.</t>
  </si>
  <si>
    <t>La versión final del Manual de Cumplimiento fue presentado al Comité de Comunicación y Control (o la persona establecida en su Manual de Cumplimiento) para su revisión.</t>
  </si>
  <si>
    <t>35a, frac. I</t>
  </si>
  <si>
    <t>El Manual de Cumplimiento fue presentado para la aprobación del Comité de Auditoría. (cuando cuente con uno, en caso contrario, indicar No aplica)</t>
  </si>
  <si>
    <t>Lineam</t>
  </si>
  <si>
    <t>Se estableció la fecha a partir de la cual se dará a conocer a la Entidad la actualización del Manual.</t>
  </si>
  <si>
    <t>Se estableció la fecha a partir de la cual aplicarán los cambios establecidos en el Manual.</t>
  </si>
  <si>
    <t>El Manual fue presentado a la Secretaría a través de la Comisión por medio del SITI dentro de los 20 días hábiles siguientes a la fecha en que su respectivo comité de auditoría lo apruebe.</t>
  </si>
  <si>
    <t>El Manual de Cumplimiento está basado en la actividades, productos o servicios y las operaciones que sus Clientes pretendan realizar en la Entidad.</t>
  </si>
  <si>
    <t>(a), frac. I, 9 Lineam</t>
  </si>
  <si>
    <t xml:space="preserve">La política de identificación del Cliente y del Usuario </t>
  </si>
  <si>
    <t>2. Gobierno corporativo</t>
  </si>
  <si>
    <t>Gobierno corporativo
Persona o grupo de personas que ejerzan el control en la Entidad</t>
  </si>
  <si>
    <t>2.1.1</t>
  </si>
  <si>
    <t>53a</t>
  </si>
  <si>
    <t>Remitir a la Secretaría, por conducto del Supervisor, y a través del formato que para tal efecto expida la Secretaría, información sobre la identidad de la persona o grupo de personas que ejerzan el Control en estas, así como de cualquier cambio de dichas personas, dentro de los diez días hábiles siguientes a aquel en que los accionistas o socios respectivos comuniquen esa situación a la persona que se encuentre a cargo de la administración de la Entidad.</t>
  </si>
  <si>
    <t>2.1.2</t>
  </si>
  <si>
    <t xml:space="preserve">Prever en sus estatutos sociales la obligación de cada uno de sus accionistas o socios de informar al presidente del consejo de administración sobre el Control que, en lo individual o en grupo, ejerzan sobre la Entidad de que se trate, dichos accionistas o socios o la persona o grupo de personas que actúen a través de ellos. </t>
  </si>
  <si>
    <t>Gobierno corporativo
Transmisión de acciones por más del 2%</t>
  </si>
  <si>
    <t>2.2.1</t>
  </si>
  <si>
    <t>Remitir a la Secretaría, por conducto del Supervisor, la información relativa a dicha transmisión de acciones dentro de los tres días hábiles siguientes a que haya inscrito, en el registro señalado en el artículo 128 de la Ley General de Sociedades Mercantiles.</t>
  </si>
  <si>
    <t>Gobierno corporativo
Fusión, escisión, desaparición o disolución de la Entidad</t>
  </si>
  <si>
    <t>2.3.1</t>
  </si>
  <si>
    <t>60a</t>
  </si>
  <si>
    <t>En caso de que la Entidad desaparezca por motivo de una fusión o escisión, se deberá informar a la Comisión, dentro de los diez días hábiles siguientes al de la inscripción del acto en el Registro Público de Comercio, los datos de la Entidad que sea creada o designada para asumir la obligación de conservar la información a que se refieren las presentes Disposiciones.</t>
  </si>
  <si>
    <t>2.3.2</t>
  </si>
  <si>
    <t>En caso de que la Entidad sea disuelta, esta deberá sujetarse a lo dispuesto en la Ley General de Sociedades Mercantiles, respecto a la conservación de la información con que cuente la Entidad de que se trate.</t>
  </si>
  <si>
    <t xml:space="preserve">  3.     Control interno</t>
  </si>
  <si>
    <t>3. Control Interno
Reporte de operaciones relevantes</t>
  </si>
  <si>
    <t>3.1.1</t>
  </si>
  <si>
    <t>28a</t>
  </si>
  <si>
    <t>Remitir a la Secretaría, por conducto del Supervisor, dentro de los diez últimos días hábiles de los meses de enero, abril, julio y octubre de cada año, a través de medios electrónicos y en el formato oficial que para tal efecto expida la Secretaría, un reporte por todas las Operaciones Relevantes que sus Clientes o Usuarios hayan realizado en los tres meses anteriores a aquel en que deban presentarlo. (operaciones en efectivo en sucursales u oficinas)</t>
  </si>
  <si>
    <t>3.1.2</t>
  </si>
  <si>
    <t>Remitir a la Secretaría, por conducto del Supervisor, dentro de los diez últimos días hábiles de los meses de enero, abril, julio y octubre de cada año, a través de medios electrónicos y en el formato oficial que para tal efecto expida la Secretaría, un reporte por todas las Operaciones Relevantes que sus Clientes o Usuarios hayan realizado en los tres meses anteriores a aquel en que deban presentarlo. (operaciones en efectivo a través de cuentas concentradoras)</t>
  </si>
  <si>
    <t>3.1.3</t>
  </si>
  <si>
    <t xml:space="preserve">Cuando durante el trimestre que corresponda no haya operaciones relevantes que reportar la Entidad deberá remitir, en los términos y bajo el formato señalado en el párrafo anterior, un reporte en el que solo deberán llenar los campos relativos a la identificación de las propias Entidades, al tipo de reporte y al período del mismo, dejando vacío el resto de los campos contenidos en el referido formato. </t>
  </si>
  <si>
    <t>3. Control Interno
Operaciones inusuales</t>
  </si>
  <si>
    <t>3.2.1</t>
  </si>
  <si>
    <t>30a</t>
  </si>
  <si>
    <t>Se realizó el análisis de la(s) posible(s) operación(es) inusual(es) y se documentó.</t>
  </si>
  <si>
    <t>3.2.2</t>
  </si>
  <si>
    <t>En el análisis de la(s) posible(s) operación(es) inusual(es), se consideraron entre otras, las circunstancias establecidas en la 30a, con independencia de que se presenten en forma aislada o conjunta.</t>
  </si>
  <si>
    <t>3.2.3</t>
  </si>
  <si>
    <t>29a</t>
  </si>
  <si>
    <t>Se detectó una serie de Operaciones realizadas por el mismo Cliente o Usuario que guardan relación entre ellas como Operaciones Inusuales, que están relacionadas con alguna o algunas Operaciones Inusuales, o que complementaron a cualquiera de ellas, la Entidad describió lo relativo a todas esas Operaciones en un solo reporte.</t>
  </si>
  <si>
    <t>3.2.4</t>
  </si>
  <si>
    <t>El Oficial de Cumplimiento presentó al CCC al análisis de la posible operación inusual, junto al análisis de esta para su dictaminación en un periodo que no excedió de 60 días naturales contados a partir de que se generó la alerta.</t>
  </si>
  <si>
    <t>3.2.5</t>
  </si>
  <si>
    <t>De las posibles operaciones inusuales dictaminadas a reportar, (ya sea por el CCC o por el OC) fueron presentadas a la Secretaría, por conducto de la Comisión, a través del SITI dentro de los 3 días hábiles siguientes contados a partir de que concluyó la sesión del Comité.</t>
  </si>
  <si>
    <t>3.2.6</t>
  </si>
  <si>
    <t>31a</t>
  </si>
  <si>
    <t xml:space="preserve">De las operaciones relevantes generadas por el sistema, se identificaron posibles inusualidades, se realizó el análisis y se sometió a dictaminación del CCC (u OC, cuando no cuente con CCC) fue dictaminada para su reporte y formularon, por separado, un reporte por cada uno de esos tipos de Operación. </t>
  </si>
  <si>
    <t>3.2.7</t>
  </si>
  <si>
    <t xml:space="preserve"> (b), III, 9 lineamiento</t>
  </si>
  <si>
    <t>En el evento de que el sistema, modelo, proceso o por empleados de la Entidad se hayan generado posibles operaciones inusuales y no fueron dictaminadas como reportables, se cuenta con el análisis previo del OC y de su dictaminación.</t>
  </si>
  <si>
    <t>3. Control Interno
Reporte de operaciones inusuales por listas de PLD/FT</t>
  </si>
  <si>
    <t>3.3.1</t>
  </si>
  <si>
    <t>33a</t>
  </si>
  <si>
    <t>Se realizó el análisis de la coincidencia en listas de PLD/FT para descartar un homónimo.</t>
  </si>
  <si>
    <t>3.3.2</t>
  </si>
  <si>
    <t>33a
Guía RIPS ROIS 2022</t>
  </si>
  <si>
    <t>Se remitió a la Secretaría, por conducto de la Comisión por medio del SITI, un reporte de Operación Inusual, en el que, en la columna de descripción de la Operación, se insertó la leyenda "Operativa" y especificó si es con prioridad ALTA O SIN PRIORIDAD.</t>
  </si>
  <si>
    <t>3.3.3</t>
  </si>
  <si>
    <t xml:space="preserve">Cuando en el evento, la persona reportada como excepción al reporte de "Operación Inusual de Operativa" (EOPERATIVA)  corresponde a una persona que no se tengan operaciones que reportar relacionadas con las inusualidades detectadas. </t>
  </si>
  <si>
    <t>33a, 10a Ter,
Guía RIPS ROIS 2022</t>
  </si>
  <si>
    <t>Cuando en el evento, la persona reportada como "Tentativa de Operación" (Tentativa) corresponde cuando se suspenda el proceso de identificación por motivos diferentes a los señalados a los "Reportes de Operativa".</t>
  </si>
  <si>
    <t>3. Control Interno
Reporte de operaciones inusuales de "24 horas" por listas de Personas Bloqueadas</t>
  </si>
  <si>
    <t>3.4.1</t>
  </si>
  <si>
    <t>Se realizó el análisis de la coincidencia en listas de Personas Bloqueadas para descartar un homónimo.</t>
  </si>
  <si>
    <t>3.4.2</t>
  </si>
  <si>
    <t>Se remitió a la Secretaría, por conducto de la Comisión por medio del SITI, dentro de las 24 horas contadas a partir de que conozca dicha información, un reporte de Operación Inusual, en el que, en la columna de descripción de la Operación, se insertó la leyenda "Reporte de 24 horas LPB" o "Reporte de 24 horas LPB por relacionadas LPB".</t>
  </si>
  <si>
    <t>3.4.3</t>
  </si>
  <si>
    <t>10a Ter, 33a,
Guía RIPS ROIS 2022</t>
  </si>
  <si>
    <t>Cuando en el evento, la persona reportada como inusual de "24 horas LPB" o "24 horas LPB relacionadas LPB" corresponde a una persona con la que la Entidad no llevó a cabo la operación, proporcionó en dicho reporte toda la información que sobre ellos haya conocido así como en el campo 35 del reporte se agregará "TENTATIVA".</t>
  </si>
  <si>
    <t>3. Control Interno
Reporte de operaciones inusuales de "24 horas" y/o Guía RIPs ROIS reportadas por empleados</t>
  </si>
  <si>
    <t>3.5.1</t>
  </si>
  <si>
    <t>Se realizó el análisis de la persona reportada para obtener mayor información para identificar si es un reporte de "24 horas" o de las establecidas en la Guía de RIPS y ROIS publicadas en el ejercicio 2022.</t>
  </si>
  <si>
    <t>3.5.2</t>
  </si>
  <si>
    <t>Una vez identificado el tipo de operación, se realizó el reporte en el tiempo y los medios establecidos en la Guía de RIPS y ROIS.</t>
  </si>
  <si>
    <t>3.5.3</t>
  </si>
  <si>
    <t>3. Control Interno
Reporte de operaciones internas preocupantes</t>
  </si>
  <si>
    <t>3.6.1</t>
  </si>
  <si>
    <t>34a</t>
  </si>
  <si>
    <t>Se realizó el análisis de la(s) posible(s) operación(es) interna(s) preocupante(s) y se documentó.</t>
  </si>
  <si>
    <t>3.6.2</t>
  </si>
  <si>
    <t>En el análisis de la(s) posible(s) operación(es) interna(s) preocupante(s), se consideraron entre otras, las circunstancias establecidas en la 34a, con independencia de que se presenten en forma aislada o conjunta.</t>
  </si>
  <si>
    <t>3.6.3</t>
  </si>
  <si>
    <t>El Oficial de Cumplimiento presentó al CCC al análisis de la posible operación interna preocupante, junto al análisis de esta para su dictaminación en un periodo que no excedió de 60 días naturales contados a partir de que se generó la alerta.</t>
  </si>
  <si>
    <t>3.6.4</t>
  </si>
  <si>
    <t>Guía RIPS ROIS 2022</t>
  </si>
  <si>
    <t>Se especificó en el campo 35 del formato oficial para reportar operaciones internas preocupantes la prioridad del reporte PRIORIDAD ALTA o SIN PRIORIDAD.</t>
  </si>
  <si>
    <t>3.6.5</t>
  </si>
  <si>
    <t>De las posibles operaciones internas preocupantes dictaminadas a reportar, (ya sea por el CCC o por el OC) fueron presentadas a la Secretaría, por conducto de la Comisión, a través del SITI dentro de los 3 días hábiles siguientes contados a partir de que concluyó la sesión del Comité.</t>
  </si>
  <si>
    <t>3. Control Interno
Funciones y obligaciones del Comité de Comunicación y Control</t>
  </si>
  <si>
    <t>3.7.1</t>
  </si>
  <si>
    <t>35a, I, 37a</t>
  </si>
  <si>
    <t>Someter a la aprobación del comité de auditoría de la Entidad de que se trate, el Manual de Cumplimiento, así como cualquier modificación al mismo.
Para el caso de aquella Entidad que no cuente con un comité de auditoría, corresponderá a su propio Comité aprobar el documento señalado en esta fracción.</t>
  </si>
  <si>
    <t>3.7.2</t>
  </si>
  <si>
    <t>35a, I. Bis, 37a</t>
  </si>
  <si>
    <t>Presentar al consejo de administración o administrador único de la Entidad, según corresponda, los resultados de la implementación de la metodología elaborada e implementada para llevar a cabo la evaluación de Riesgos a la que hace referencia el Capítulo II Bis anterior.</t>
  </si>
  <si>
    <t>3.7.3</t>
  </si>
  <si>
    <t>35a, II, 37a</t>
  </si>
  <si>
    <t>35a, II. Fungir como instancia competente para conocer los resultados obtenidos por el área de auditoría interna de la Entidad o, en su caso, por el auditor externo independiente a que se refiere la 52 ª de las presentes Disposiciones, respecto de la valoración de la eficacia de las políticas, criterios, medidas y procedimientos contenidos en el Manual de Cumplimiento, a efecto de adoptar las acciones necesarias tendientes a corregir fallas, deficiencias u omisiones.
Para los efectos de esta fracción, se entenderá que la referencia al área de auditoría interna se hace para la que resulte equivalente, respecto a los distintos tipos de Entidades.</t>
  </si>
  <si>
    <t>3.7.4</t>
  </si>
  <si>
    <t>35a, III, 37a</t>
  </si>
  <si>
    <t>35a, III. Conocer de aquellos Clientes que por sus características sean clasificados con un Grado de Riesgo alto, de acuerdo con los informes que al efecto le presente el Oficial de Cumplimiento y, en su caso, formular las recomendaciones que estime procedentes.</t>
  </si>
  <si>
    <t>3.7.5</t>
  </si>
  <si>
    <t>35a, IV, 37a</t>
  </si>
  <si>
    <t>35a, IV. Establecer y difundir los criterios para la clasificación de los Clientes, en función de su Grado de Riesgo, de conformidad con lo señalado en la 21ª de las presentes Disposiciones</t>
  </si>
  <si>
    <t>3.7.6</t>
  </si>
  <si>
    <t>35a, V, 37a</t>
  </si>
  <si>
    <t>35a, V. Asegurarse de que los sistemas automatizados a que se refieren las presentes Disposiciones, contengan las listas a las que se refiere la fracción X de la 30ª, la lista de Personas Políticamente Expuestas que, conforme a la 58ª de las presentes Disposiciones, las Entidades deben elaborar y la Lista de Personas Bloqueadas;</t>
  </si>
  <si>
    <t>3.7.7</t>
  </si>
  <si>
    <t>35a, VI, 37a</t>
  </si>
  <si>
    <t xml:space="preserve">35a, VI. Dictaminar las Operaciones que deban ser reportadas a la Secretaría, por conducto del Supervisor, como Operaciones Inusuales u Operaciones Internas Preocupantes, en los términos establecidos en las presentes Disposiciones; </t>
  </si>
  <si>
    <t>3.7.8</t>
  </si>
  <si>
    <t>35a, VII, 37a</t>
  </si>
  <si>
    <t xml:space="preserve">35a, VII. Aprobar los programas de capacitación para el personal de la Entidad, en materia de prevención, detección y reporte de actos, omisiones u Operaciones que pudiesen actualizar los supuestos previstos en los artículos 139 Quáter o 400 Bis del Código Penal Federal; </t>
  </si>
  <si>
    <t>3.7.9</t>
  </si>
  <si>
    <t>35a, VIII, 37a</t>
  </si>
  <si>
    <t xml:space="preserve">35a, VIII. Informar al área competente de la Entidad, respecto de conductas realizadas por los directivos, funcionarios, empleados o apoderados de la misma, que provoquen que esta incurra en infracción a lo previsto en las presentes Disposiciones, o en los casos en que dichos directivos, funcionarios, empleados o apoderados contravengan lo previsto en las políticas, criterios, medidas y procedimientos señalados en la fracción I de la presente Disposición, con objeto de que se impongan las medidas disciplinarias correspondientes; </t>
  </si>
  <si>
    <t>3.7.10</t>
  </si>
  <si>
    <t>35a, IX, 37a</t>
  </si>
  <si>
    <t xml:space="preserve">35a, IX. Resolver los demás asuntos que se sometan a su consideración, relacionados con la aplicación de las presentes Disposiciones, y </t>
  </si>
  <si>
    <t>3.7.11</t>
  </si>
  <si>
    <t>35a, X, 37a</t>
  </si>
  <si>
    <t xml:space="preserve">35a, X. Asegurarse de que la Entidad, para el cumplimiento de las presentes Disposiciones, cuente con las estructuras internas a que se refiere este Capítulo, en cuanto a organización, número de personas, recursos materiales y tecnológicos, de acuerdo con los resultados de la implementación de la metodología a que se refiere el Capítulo II Bis anterior. 
Cada Entidad deberá establecer expresamente en el documento a que se refiere la 54ª de las presentes Disposiciones, o bien, en algún otro documento o Manual elaborado por la propia Entidad, los mecanismos, procesos, plazos y momentos, según sea el caso, que se deberán observar en el desempeño de las funciones indicadas en esta Disposición. </t>
  </si>
  <si>
    <t>3.7.12</t>
  </si>
  <si>
    <t>35a, XI, 37a</t>
  </si>
  <si>
    <t>35a, XI. Asegurarse de que la clave referida en la 60 ª sea solicitada y se mantenga actualizada a nombre del Oficial de Cumplimiento u Oficial de Cumplimiento que sea designado como interino, según corresponda, y</t>
  </si>
  <si>
    <t>3.7.13</t>
  </si>
  <si>
    <t>35a, XII, 37a</t>
  </si>
  <si>
    <t>35a, XII. Realizar las demás acciones necesarias para el adecuado cumplimiento de sus funciones y obligaciones.
Cada Entidad deberá establecer expresamente en su Manual de Cumplimiento, o bien, en algún otro documento o manual elaborado por la propia Entidad, los mecanismos, procesos, plazos y momentos, según sea el caso, que se deberán observar en el desempeño de las funciones indicadas en esta disposición.</t>
  </si>
  <si>
    <t>3. Control Interno
Forma en la que opera el Comité de Comunicación y Control</t>
  </si>
  <si>
    <t>3.8.1</t>
  </si>
  <si>
    <t>El Comité sesiona con una periodicidad de al menos una vez cada mes del año.</t>
  </si>
  <si>
    <t>3.8.2</t>
  </si>
  <si>
    <t>Las decisiones de dicho Comité se tomarán en virtud del voto favorable de la mayoría de los miembros presentes en la sesión y que, en caso de empate, el presidente haya tenido voto de calidad.</t>
  </si>
  <si>
    <t>3.8.3</t>
  </si>
  <si>
    <t>Las actas de sesión son firmadas por el presidente y el secretario de dicho Comité o, en su caso, por sus respectivos suplentes.</t>
  </si>
  <si>
    <t>3.8.4</t>
  </si>
  <si>
    <t>Tratándose de Entidades que no cuenten con auditor interno, el consejo de administración o administrador único, designó al funcionario que desempeña labores equivalentes a las de dicho auditor.</t>
  </si>
  <si>
    <t>3. Control Interno
Funciones y obligaciones del Oficial de Cumplimiento</t>
  </si>
  <si>
    <t>3.9.1</t>
  </si>
  <si>
    <t>39a, I, 37a</t>
  </si>
  <si>
    <t>Elaborar y someter a la consideración del Comité el Manual de Cumplimiento, que contenga las políticas de identificación y conocimiento del Cliente y del Usuario, y los criterios, medidas y procedimientos que deberán adoptar para dar cumplimiento a lo previsto en estas Disposiciones;</t>
  </si>
  <si>
    <t>3.9.2</t>
  </si>
  <si>
    <t>39a, I. Bis, 37a</t>
  </si>
  <si>
    <t>Someter a la aprobación del Comité la metodología diseñada para llevar a cabo la evaluación de Riesgos a la que hace referencia el Capítulo II Bis anterior, así como los resultados de su implementación;</t>
  </si>
  <si>
    <t>3.9.3</t>
  </si>
  <si>
    <t>39a, II, 37a</t>
  </si>
  <si>
    <t xml:space="preserve">Verificar la correcta ejecución de las medidas adoptadas por el Comité, en ejercicio de las facultades previstas en la 35ª de las presentes Disposiciones; </t>
  </si>
  <si>
    <t>3.9.4</t>
  </si>
  <si>
    <t>39a, III, 37a</t>
  </si>
  <si>
    <t xml:space="preserve">Informar al Comité respecto de conductas, actividades o comportamientos realizados por los directivos, funcionarios, empleados o apoderados de la Entidad, que provoquen que esta incurra en infracción a lo dispuesto en la Ley General de Organizaciones y Actividades Auxiliares del Crédito o las presentes Disposiciones, así como de los casos en que dichos directivos, funcionarios, empleados o apoderados contravengan lo previsto en el documento señalado en la fracción I de esta Disposición, con objeto de que se impongan las medidas disciplinarias correspondientes; </t>
  </si>
  <si>
    <t>3.9.5</t>
  </si>
  <si>
    <t>39a, IV, 37a</t>
  </si>
  <si>
    <t>Hacer del conocimiento del Comité aquellos Clientes que por sus características sean clasificados con un Grado de Riesgo alto para la propia Entidad;</t>
  </si>
  <si>
    <t>3.9.6</t>
  </si>
  <si>
    <t>39a, V, 37a</t>
  </si>
  <si>
    <t xml:space="preserve">Coordinar tanto las actividades de seguimiento de Operaciones, como las investigaciones que deban llevarse a cabo a nivel institucional, con la finalidad de que el Comité cuente con los elementos necesarios para dictaminarlas, en su caso, como Operaciones Inusuales u Operaciones Internas Preocupantes. 
Para los efectos señalados en el párrafo anterior, el área a cargo del Oficial de Cumplimiento de cada Entidad o, en su caso, el personal que este designe, verificará que se hayan analizado las alertas correspondientes y documentado las investigaciones respectivas; </t>
  </si>
  <si>
    <t>3.9.7</t>
  </si>
  <si>
    <t>39a, VI, 37a</t>
  </si>
  <si>
    <t>Enviar a la Secretaría, por conducto de la Comisión, los reportes de Operaciones a que se refiere la 33 ª de las presentes Disposiciones, así como aquellos que considere urgentes, e informar de ello al Comité, en su siguiente sesión;</t>
  </si>
  <si>
    <t>3.9.8</t>
  </si>
  <si>
    <t>39a, VII, 37a</t>
  </si>
  <si>
    <t>Fungir como instancia de consulta al interior de la Entidad respecto de la aplicación de las presentes Disposiciones, así como del Manual de Cumplimiento;</t>
  </si>
  <si>
    <t>3.9.9</t>
  </si>
  <si>
    <t>39a, VIII, 37a</t>
  </si>
  <si>
    <t>Definir las características, contenido y alcance de los programas de capacitación del personal de la Entidad, a que hace referencia la 41ª de estas Disposiciones;</t>
  </si>
  <si>
    <t>3.9.10</t>
  </si>
  <si>
    <t>39a, IX, 37a</t>
  </si>
  <si>
    <t>Recibir y verificar que la Entidad dé respuesta, en los términos de las disposiciones legales aplicables, a los requerimientos de información y documentación, así como a las órdenes de aseguramiento o desbloqueo de Operaciones que, por conducto de la Comisión, formulen las autoridades competentes en materia de prevención, investigación, persecución y sanción de conductas que pudiesen actualizar los supuestos previstos en los artículos 139 Quáter o 400 Bis del Código Penal Federal; asimismo, verificar que la Entidad cuente con los procedimientos apropiados para asegurar que la misma dé cumplimiento a lo previsto en la 63 ª de las presentes Disposiciones.</t>
  </si>
  <si>
    <t>3.9.11</t>
  </si>
  <si>
    <t>39a, X, 37a</t>
  </si>
  <si>
    <t xml:space="preserve">Fungir como enlace entre el Comité, la Secretaría y el Supervisor, para los asuntos referentes a la aplicación de las presentes Disposiciones, y </t>
  </si>
  <si>
    <t>3.9.12</t>
  </si>
  <si>
    <t>39a, XI, 37a</t>
  </si>
  <si>
    <t xml:space="preserve">Cerciorarse que el área a su cargo reciba directamente y dé seguimiento a los avisos emitidos por los empleados y funcionarios de la Entidad, sobre hechos y actos que puedan ser susceptibles de considerarse como Operaciones Inusuales u Operaciones Internas Preocupantes. </t>
  </si>
  <si>
    <t>3. Control Interno
Seguimiento a los programas de acción correctiva que en su caso resultaron aplicables del informe de auditoría del ejercicio 2020</t>
  </si>
  <si>
    <t>3.10.1</t>
  </si>
  <si>
    <t>52a</t>
  </si>
  <si>
    <t>Elaboró un programa para dar seguimiento a las acciones correctivas que en su caso resultaron aplicables del informe de auditoría PLD del ejercicio 2020.</t>
  </si>
  <si>
    <t>3.10.2</t>
  </si>
  <si>
    <t>Atendió los hallazgos que resultados aplicables del informe de auditoría PLD del ejercicio 2020.</t>
  </si>
  <si>
    <t>3. Control Interno
Atención a las recomendaciones al informe de auditoría PLD/FT 2020</t>
  </si>
  <si>
    <t>3.11.1</t>
  </si>
  <si>
    <t>CNBV
X, 9 Lineamiento</t>
  </si>
  <si>
    <t>Elaboró un programa para dar cumplimiento a las recomendaciones emitidas por la CNBV del informe de auditoría PLD del ejercicio 2020.</t>
  </si>
  <si>
    <t>3.11.2</t>
  </si>
  <si>
    <t>Subsanó las recomendaciones emitidas por la CNBV del informe de auditoría PLD del ejercicio 2020.</t>
  </si>
  <si>
    <t>3. Control Interno
Atención a las recomendaciones al informe de auditoría PLD/FT 2019</t>
  </si>
  <si>
    <t>3.12.1</t>
  </si>
  <si>
    <t>Elaboró un programa para dar cumplimiento a las recomendaciones emitidas por la CNBV del informe de auditoría PLD del ejercicio 2019.</t>
  </si>
  <si>
    <t>3.12.2</t>
  </si>
  <si>
    <t>Recomendación 1</t>
  </si>
  <si>
    <t>Subsanó las recomendaciones emitidas por la CNBV del informe de auditoría PLD del ejercicio 2019.</t>
  </si>
  <si>
    <t xml:space="preserve">4. Administración de riesgos </t>
  </si>
  <si>
    <t>4. Administración de riesgos
Metodología de Evaluación de Riesgo</t>
  </si>
  <si>
    <t>4.1.1</t>
  </si>
  <si>
    <t>17a -1</t>
  </si>
  <si>
    <t>Cuenta con una metodología de EBR diseñada e implementada.</t>
  </si>
  <si>
    <t>4.1.2</t>
  </si>
  <si>
    <t>Tiene documentada la metodología de EBR en su manual de Cumplimiento o en otro documento.</t>
  </si>
  <si>
    <t>4.1.3</t>
  </si>
  <si>
    <t>La Metodología de EBR es coherente con los controles establecidos en su Manual de Cumplimiento.</t>
  </si>
  <si>
    <t>4.1.4</t>
  </si>
  <si>
    <t>17a -3</t>
  </si>
  <si>
    <t xml:space="preserve">La Comisión revisó y, en su caso, ordenó la modificación de su metodología de evaluación de Riesgos o de sus Mitigantes, entre otros supuestos, cuando no consideren una debida administración de Riesgos en el procedimiento y criterio(s) para la determinación de la apertura, limitación y/o terminación de una relación comercial con Clientes o Usuarios, que deberá ser congruente con dicha metodología así como solicitar un plan de acción para que adopten medidas reforzadas para gestionar y mitigar sus Riesgos. </t>
  </si>
  <si>
    <t>4.1.5</t>
  </si>
  <si>
    <t>17a -4</t>
  </si>
  <si>
    <t>Actualizó la metodología de EBR al menos cada 12 meses.</t>
  </si>
  <si>
    <t>4. Administración de riesgos
Perfil transaccional de los Clientes y Usuarios</t>
  </si>
  <si>
    <t>4.2.1</t>
  </si>
  <si>
    <t>20a</t>
  </si>
  <si>
    <t>El perfil transaccional de los Clientes está basado en la información que ellos proporcionen a la Entidad y, en su caso, en aquella con que cuente la misma, respecto del monto, número, tipo, naturaleza y frecuencia de las Operaciones que comúnmente realizan dichos Clientes; el origen y destino de los recursos involucrados; así como en el conocimiento que tenga el empleado o funcionario de la Entidad respecto de su cartera de Clientes, y en los demás elementos y criterios que determinen las propias Entidades.</t>
  </si>
  <si>
    <t>4.2.2</t>
  </si>
  <si>
    <t>21a</t>
  </si>
  <si>
    <t>Cuenta con un sistema de alertas que le permite dar seguimiento y detectar oportunamente cambios en el comportamiento transaccional de sus Clientes.</t>
  </si>
  <si>
    <t>4.2.3</t>
  </si>
  <si>
    <t>Considera la información que proporcione cada uno de sus Clientes, relativa a los montos máximos mensuales de las Operaciones que los propios Clientes estimen realizar, para determinar su perfil transaccional inicial.</t>
  </si>
  <si>
    <t>4. Administración de riesgos.
Grado de riesgo de los Clientes y Usuarios</t>
  </si>
  <si>
    <t>4.3.1</t>
  </si>
  <si>
    <t>Para determinar el Grado de Riesgo en el que deban ubicarse los Clientes, así como si deben considerarse Personas Políticamente Expuestas, tomen en cuenta, entre otros aspectos, los antecedentes del Cliente, su profesión, actividad o giro del negocio, el origen y destino de sus recursos, el lugar de su residencia, la metodología a que se refiere el Capítulo II Bis de las Disposiciones y las demás circunstancias que determine la propia Entidad.</t>
  </si>
  <si>
    <t>4.3.2</t>
  </si>
  <si>
    <t>24a</t>
  </si>
  <si>
    <t>Considerar al menos a los PEPs extranjeros con grado de riesgo alto.</t>
  </si>
  <si>
    <t>4.3.3</t>
  </si>
  <si>
    <t>Cuenta con mecanismos para clasificar a los Clientes PEPs nacionales.</t>
  </si>
  <si>
    <t>4. Administración de riesgos
Reserva y confidencialidad</t>
  </si>
  <si>
    <t>4.4.1</t>
  </si>
  <si>
    <t>44a y 45a</t>
  </si>
  <si>
    <t>Dio a conocer a los miembros del consejo de administración o administrador único, según sea el caso, los del Comité, el Oficial de Cumplimiento, así como los directivos, funcionarios, empleados y apoderados la reserva y confidencialidad en materia de PLD/FT.</t>
  </si>
  <si>
    <t>4. Administración de riesgos
Dictamen técnico</t>
  </si>
  <si>
    <t>4.5.1</t>
  </si>
  <si>
    <t>CNBV</t>
  </si>
  <si>
    <t>Actualización del Manual con enfoque de Dictamen técnico.</t>
  </si>
  <si>
    <t>4.5.2</t>
  </si>
  <si>
    <t>Pago de la cuota para presentar el trámite de Dictamen técnico.</t>
  </si>
  <si>
    <t>4.5.3</t>
  </si>
  <si>
    <t>Presentación de los cuatro pasos en el portal de Dictamen técnico.</t>
  </si>
  <si>
    <t>4.5.4</t>
  </si>
  <si>
    <t>Atención a las observaciones de la CNBV sobre el Manual de Cumplimiento.</t>
  </si>
  <si>
    <t>4.5.5</t>
  </si>
  <si>
    <t>Obtención del Dictamen técnico.</t>
  </si>
  <si>
    <t>4. Administración de riesgos
Clientes clasificados como de Alto Riesgo 2022</t>
  </si>
  <si>
    <t>4.6.1</t>
  </si>
  <si>
    <t>Se obtuvo mayor información del Cliente clasificado como de grado de riesgo alto.</t>
  </si>
  <si>
    <t>4.6.2</t>
  </si>
  <si>
    <t>Se obtuvo información sobre el origen de los recursos.</t>
  </si>
  <si>
    <t>4.6.3</t>
  </si>
  <si>
    <t>Se obtuvo información sobre el destino de los recursos.</t>
  </si>
  <si>
    <t>4.6.4</t>
  </si>
  <si>
    <t>Se obtuvo información sobre las operaciones que realizan o pretenden llevar a cabo.</t>
  </si>
  <si>
    <t>4.6.5</t>
  </si>
  <si>
    <t>En el caso de Personas Físicas nacionales y/o extranjeras clasificadas como de grado de riesgo alto, se obtuvo los datos de identificación del cónyuge.</t>
  </si>
  <si>
    <t>4.6.6</t>
  </si>
  <si>
    <t>En el caso de los Clientes Personas Físicas nacionales y/o extranjeras clasificadas como de grado de riesgo alto, se obtuvo los datos de identificación de los dependientes económicos.</t>
  </si>
  <si>
    <t>4.6.7</t>
  </si>
  <si>
    <t>En el caso de los Clientes Personas Físicas nacionales y/o extranjeras clasificadas como de grado de riesgo alto, se obtuvo los datos de identificación de las sociedades y asociaciones con las que mantenga vínculos patrimoniales.</t>
  </si>
  <si>
    <t>4.6.8</t>
  </si>
  <si>
    <t>17a</t>
  </si>
  <si>
    <t>Se cuenta con constancia de la visita domiciliaria.</t>
  </si>
  <si>
    <t>4.6.9</t>
  </si>
  <si>
    <t xml:space="preserve">frac I, 9 Lineamiento </t>
  </si>
  <si>
    <t>Se programó las futuras visitas domiciliarias.</t>
  </si>
  <si>
    <t>4.6.10</t>
  </si>
  <si>
    <t>23a</t>
  </si>
  <si>
    <t>Se obtuvo la autorización al menos un directivo o su equivalente que cuenta con facultades específicas para aprobar la celebración de dichos contratos, otorgada por escrito, de forma digital o electrónica.</t>
  </si>
  <si>
    <t>4.6.11</t>
  </si>
  <si>
    <t>Aplicó los mecanismos establecidos en su manual de cumplimiento para que el Oficial de Cumplimiento tenga conocimiento sobre la autorización de los Clientes clasificados de alto riesgo.</t>
  </si>
  <si>
    <t>4.6.12</t>
  </si>
  <si>
    <t>En el caso de los Clientes Personas Morales nacionales y/o extranjeras clasificadas como de grado de riesgo alto, se obtuvo información sobre los principales accionistas o socios.</t>
  </si>
  <si>
    <t>4.6.13</t>
  </si>
  <si>
    <t>En el caso de los Clientes Personas Morales nacionales y/o extranjeras clasificadas como de grado de riesgo alto formen parte de un grupo empresarial, se obtuvo mayor información, denominación, nacionalidad, domicilio, objeto social y capital social de las personas morales que conforman el grupo empresarial o, en su caso, los grupos empresariales que integran al consorcio del que forme parte el Cliente.</t>
  </si>
  <si>
    <t>En el caso de los Clientes sociedades o asociaciones civiles clasificados con grado de riesgo alto, se identificó a la persona o personas que tengan Control sobre tales sociedades o asociaciones, independientemente del porcentaje del haber social con el cual participen en la sociedad o asociación.</t>
  </si>
  <si>
    <t>En el caso de los Clientes fideicomisos clasificados con grado de riesgo alto se obtuvo los datos de identificación del cónyuge y dependientes económicos de los fideicomitentes y fideicomisarios personas físicas.</t>
  </si>
  <si>
    <t>En el caso de los Clientes fideicomisos clasificados con grado de riesgo alto se obtuvo los datos de identificación de las sociedades y asociaciones con las que mantengan vínculos patrimoniales y, respecto de fideicomitentes y fideicomisarios personas morales.</t>
  </si>
  <si>
    <t>4.6.14</t>
  </si>
  <si>
    <t>Se realizó supervisión más estricta de su comportamiento transaccional.</t>
  </si>
  <si>
    <t>4. Administración de riesgos
Clientes clasificados como de Alto Riesgo ejercicios anteriores</t>
  </si>
  <si>
    <t>4.7.1</t>
  </si>
  <si>
    <t>17a
(e), I, 9 Lineamiento</t>
  </si>
  <si>
    <t>Se actualizó al menos una vez al año la obtención de mayor información.</t>
  </si>
  <si>
    <t>4.7.2</t>
  </si>
  <si>
    <t>Se realizó la actualización de la constancia de visita domiciliaria.</t>
  </si>
  <si>
    <t>4.7.3</t>
  </si>
  <si>
    <t>4. Administración de riesgos
Clientes PEPs nacionales</t>
  </si>
  <si>
    <t>4.8.1</t>
  </si>
  <si>
    <t>Los Clientes PEPs nacionales fueron clasificados en el grado de riesgo que haya establecido la Entidad de acuerdo con su Manual de Cumplimiento.</t>
  </si>
  <si>
    <t>4.8.2</t>
  </si>
  <si>
    <t>El comportamiento transaccional de los Clientes PEPs nacionales corresponde razonablemente con las funciones, nivel y responsabilidad de dichas personas, de acuerdo con el conocimiento e información de que disponga la Entidad.</t>
  </si>
  <si>
    <t>4.8.3</t>
  </si>
  <si>
    <t>22a</t>
  </si>
  <si>
    <t>Para los Clientes PEP y, además, como de Grado de Riesgo alto, se obtuvo la aprobación de un directivo o su equivalente que cuente con facultades específicas para aprobar la celebración de dichos contratos u Operaciones, según corresponda, a efecto de iniciar o, en su caso, continuar la relación comercial.</t>
  </si>
  <si>
    <t>4.8.4</t>
  </si>
  <si>
    <t>Se obtuvo mayor información del Cliente PEP clasificado como de grado de riesgo alto.</t>
  </si>
  <si>
    <t>4.8.5</t>
  </si>
  <si>
    <t>Se obtuvo información sobre el origen de los recursos del PEP clasificado como de alto riesgo.</t>
  </si>
  <si>
    <t>4.8.6</t>
  </si>
  <si>
    <t>Se obtuvo información sobre el destino de los recursos del PEP clasificado como de alto riesgo.</t>
  </si>
  <si>
    <t>4.8.7</t>
  </si>
  <si>
    <t>Se obtuvo información sobre las operaciones que realizan o pretenden llevar a cabo del PEP clasificado como de alto riesgo.</t>
  </si>
  <si>
    <t>4.8.8</t>
  </si>
  <si>
    <t>En el caso de Clientes PEP Personas Físicas nacionales y/o extranjeras clasificadas como de grado de riesgo alto, se obtuvo los datos de identificación del cónyuge.</t>
  </si>
  <si>
    <t>4.8.9</t>
  </si>
  <si>
    <t>En el caso de los Clientes PEP Personas Físicas nacionales y/o extranjeras clasificadas como de grado de riesgo alto, se obtuvo los datos de identificación de los dependientes económicos.</t>
  </si>
  <si>
    <t>4.8.10</t>
  </si>
  <si>
    <t>En el caso de los Clientes PEP Personas Físicas nacionales y/o extranjeras clasificadas como de grado de riesgo alto, se obtuvo los datos de identificación de las sociedades y asociaciones con las que mantenga vínculos patrimoniales.</t>
  </si>
  <si>
    <t>4.8.11</t>
  </si>
  <si>
    <t>Se cuenta con constancia de la visita domiciliaria del PEP clasificado como de alto riesgo.</t>
  </si>
  <si>
    <t>4.8.12</t>
  </si>
  <si>
    <t>Se programó las futuras visitas domiciliarias del PEP clasificado como de alto riesgo.</t>
  </si>
  <si>
    <t>4.8.13</t>
  </si>
  <si>
    <t>4.8.14</t>
  </si>
  <si>
    <t>4.8.15</t>
  </si>
  <si>
    <t>En el caso de los Clientes PEP Personas Morales nacionales y/o extranjeras clasificadas como de grado de riesgo alto, se obtuvo información sobre los principales accionistas o socios.</t>
  </si>
  <si>
    <t>4.8.16</t>
  </si>
  <si>
    <t>En el caso de los Clientes PEP Personas Morales nacionales y/o extranjeras clasificadas como de grado de riesgo alto formen parte de un grupo empresarial, se obtuvo mayor información, denominación, nacionalidad, domicilio, objeto social y capital social de las personas morales que conforman el grupo empresarial o, en su caso, los grupos empresariales que integran al consorcio del que forme parte el Cliente.</t>
  </si>
  <si>
    <t>4.8.17</t>
  </si>
  <si>
    <t>En el caso de los Clientes PEP sociedades o asociaciones civiles clasificados con grado de riesgo alto, se identificó a la persona o personas que tengan Control sobre tales sociedades o asociaciones, independientemente del porcentaje del haber social con el cual participen en la sociedad o asociación.</t>
  </si>
  <si>
    <t>4.8.18</t>
  </si>
  <si>
    <t>En el caso de los Clientes PEP fideicomisos clasificados con grado de riesgo alto se obtuvo los datos de identificación del cónyuge y dependientes económicos de los fideicomitentes y fideicomisarios personas físicas.</t>
  </si>
  <si>
    <t>4.8.19</t>
  </si>
  <si>
    <t>En el caso de los Clientes PEP fideicomisos clasificados con grado de riesgo alto se obtuvo los datos de identificación de las sociedades y asociaciones con las que mantengan vínculos patrimoniales y, respecto de fideicomitentes y fideicomisarios personas morales.</t>
  </si>
  <si>
    <t>4.8.20</t>
  </si>
  <si>
    <t>Se realizó supervisión más estricta de su comportamiento transaccional del PEP clasificado como de alto riesgo.</t>
  </si>
  <si>
    <t>4. Administración de riesgos
Clientes PEPs extranjeros</t>
  </si>
  <si>
    <t>4.9.1</t>
  </si>
  <si>
    <t>El Cliente PEP extranjero fue clasificado como de alto riesgo.</t>
  </si>
  <si>
    <t>4.9.2</t>
  </si>
  <si>
    <t>Recabó la información que les permita conocer y asentar las razones por las que los Clientes PEPs extranjeros han elegido celebrar un contrato u operación en territorio nacional.</t>
  </si>
  <si>
    <t>4.9.3</t>
  </si>
  <si>
    <t>4.9.4</t>
  </si>
  <si>
    <t>4.9.5</t>
  </si>
  <si>
    <t>4.9.6</t>
  </si>
  <si>
    <t>4.9.7</t>
  </si>
  <si>
    <t>4.9.8</t>
  </si>
  <si>
    <t>4.9.9</t>
  </si>
  <si>
    <t>4.9.10</t>
  </si>
  <si>
    <t>4.9.11</t>
  </si>
  <si>
    <t>4.9.12</t>
  </si>
  <si>
    <t>4.9.13</t>
  </si>
  <si>
    <t>4.9.14</t>
  </si>
  <si>
    <t>4.9.15</t>
  </si>
  <si>
    <t>4.9.16</t>
  </si>
  <si>
    <t>4.9.17</t>
  </si>
  <si>
    <t>4.9.18</t>
  </si>
  <si>
    <t>4.9.19</t>
  </si>
  <si>
    <t>4.9.20</t>
  </si>
  <si>
    <t>4.9.21</t>
  </si>
  <si>
    <t>Se obtuvieron los documentos de identificación del capítulo II de las Disposiciones respecto de las personas físicas y morales antes señaladas.</t>
  </si>
  <si>
    <t>4.9.22</t>
  </si>
  <si>
    <t xml:space="preserve">5. Estructuras internas </t>
  </si>
  <si>
    <t>5. Estructuras internas
Integración y cambios del Comité de Comunicación y Control</t>
  </si>
  <si>
    <t>5.1.1</t>
  </si>
  <si>
    <t>36a</t>
  </si>
  <si>
    <t>Está integrado por al menos 3 miembros.</t>
  </si>
  <si>
    <t>5.1.2</t>
  </si>
  <si>
    <t>Participan miembros del Consejo, Director General, empleados o funcionarios que ocupen cargos dentro de las tres jerarquías inmediatas inferiores a la del Director General.</t>
  </si>
  <si>
    <t>5.1.3</t>
  </si>
  <si>
    <t>Cuenta con al menos un presidente y un secretario.</t>
  </si>
  <si>
    <t>5.1.4</t>
  </si>
  <si>
    <t>38a</t>
  </si>
  <si>
    <t>Informar a la CNBV la Integración o cambios al CCC, dentro de los 15 días hábiles a la fecha en que se haya realizado.</t>
  </si>
  <si>
    <t>5.1.5</t>
  </si>
  <si>
    <t>El auditor interno participa en las sesiones del CCC, con voz, pero sin voto.</t>
  </si>
  <si>
    <t>5. Estructuras internas
Sobre la no obligación de constituir un Comité de Comunicación y Control</t>
  </si>
  <si>
    <t>5.2.1</t>
  </si>
  <si>
    <t>36a, últ. Párrafo</t>
  </si>
  <si>
    <t>Informar a la CNBV sobre la no obligación de constituir un CCC.</t>
  </si>
  <si>
    <t>5.2.3</t>
  </si>
  <si>
    <t>En el supuesto de tener menos de 25 personas directas e indirectas y no haya constituido un CCC, el Director General asegurarse de que la clave referida en la 60 ª sea solicitada y se mantenga actualizada a nombre del Oficial de Cumplimiento u Oficial de Cumplimiento que sea designado como interino, según corresponda.</t>
  </si>
  <si>
    <t>5. Estructuras internas
Designación y cambios del Oficial de Cumplimiento</t>
  </si>
  <si>
    <t>5.3.1</t>
  </si>
  <si>
    <t>39a</t>
  </si>
  <si>
    <t xml:space="preserve">El consejo de administración, el administrador único o el Comité de cada Entidad designará, de entre los miembros de dicho Comité, a un funcionario que se denominará “Oficial de Cumplimiento”. </t>
  </si>
  <si>
    <t>5.3.2</t>
  </si>
  <si>
    <t>EL Oficial de Cumplimiento cumple con los requisitos de ser miembro del Consejo de Administración, el Director General, empleados o funcionarios que ocupen cargos dentro de las tres jerarquías inmediatas inferiores a la del Director General de la Entidad.</t>
  </si>
  <si>
    <t>5.3.3</t>
  </si>
  <si>
    <t>El Oficial de Cumplimiento es un funcionario que es independiente de las unidades de la Entidad encargadas de promover o gestionar los productos o servicios financieros que esta ofrezca a sus Clientes o Usuarios o de funciones de Auditoría Interna de la Entidad.</t>
  </si>
  <si>
    <t>5.3.4</t>
  </si>
  <si>
    <t>40a</t>
  </si>
  <si>
    <t>Se informó a la CNBV la designación o cambio de Oficial de Cumplimiento dentro de los 2 días siguientes de haber sido designado por el Comité, Consejo de Administración o Administrador Único.</t>
  </si>
  <si>
    <t>5. Control interno
Sobre la designación del Oficial de Cumplimiento interino</t>
  </si>
  <si>
    <t>5.4.1</t>
  </si>
  <si>
    <t>El Comité de cada Entidad o bien, su consejo de administración o directivo, según corresponda, o director general, nombrará a un funcionario de la Entidad que interinamente podrá sustituir a su Oficial de Cumplimiento en el cumplimiento de sus obligaciones conforme a las presentes Disposiciones.</t>
  </si>
  <si>
    <t>5.4.2</t>
  </si>
  <si>
    <t>Se informó a la CNBV la designación del Oficial de Cumplimiento interino dentro al día hábil siguiente de haber sido designado por el Comité, Consejo de Administración o Administrador Único.</t>
  </si>
  <si>
    <t>5.4.3</t>
  </si>
  <si>
    <t>39a Bis</t>
  </si>
  <si>
    <t>El interino del Oficial de Cumplimiento no realizara funciones de auditoría dentro de la Entidad.</t>
  </si>
  <si>
    <t>5.4.4</t>
  </si>
  <si>
    <t>Que el interinato del Oficial de Cumplimiento se encuentre dentro del rango de hasta por 90 días naturales durante un año calendario.</t>
  </si>
  <si>
    <t>6. Sistemas automatizados</t>
  </si>
  <si>
    <t>6. Sistemas automatizados
Infraestructura tecnológica</t>
  </si>
  <si>
    <t>6.1.1</t>
  </si>
  <si>
    <t>43a</t>
  </si>
  <si>
    <t>Cuenta con contrato vigente del sistema automatizado PLD/FT.</t>
  </si>
  <si>
    <t>6.1.2</t>
  </si>
  <si>
    <t>Cuenta con contrato vigente del sistema de EBR (cuando aplique).</t>
  </si>
  <si>
    <t>6.1.3</t>
  </si>
  <si>
    <t>Cuenta con contrato vigente de las listas de PLD/FT.</t>
  </si>
  <si>
    <t>6.1.4</t>
  </si>
  <si>
    <t>Cuenta con contrato vigente de otros sistemas que formen parte de su infraestructura tecnológica. (cuando aplique).</t>
  </si>
  <si>
    <t>6. Sistemas automatizados
Implementación de un nuevo sistema automatizado de PLD/FT</t>
  </si>
  <si>
    <t>6.2.1</t>
  </si>
  <si>
    <t>Se creo un programa de trabajo para dar seguimiento a la implementación del nuevo sistema automatizado de PLD/FT.</t>
  </si>
  <si>
    <t>6.2.2</t>
  </si>
  <si>
    <t>Se realizan pruebas de cumplimiento del sistema de PLD/FT.</t>
  </si>
  <si>
    <t>6.2.3</t>
  </si>
  <si>
    <t>Se migra la información del sistema anterior al sistema nuevo de PLD/FT.</t>
  </si>
  <si>
    <t>6.2.4</t>
  </si>
  <si>
    <t>Se realizan pruebas de la correcta migración de la información.</t>
  </si>
  <si>
    <t>6.2.5</t>
  </si>
  <si>
    <t>Se realizan pruebas de la correcta implementación del nuevo sistema de PLD/FT.</t>
  </si>
  <si>
    <t>7. Auditoría anual PLD/FT</t>
  </si>
  <si>
    <t>7. Sistemas automatizados
Auditoría anual</t>
  </si>
  <si>
    <t>7.1.1</t>
  </si>
  <si>
    <t>Selección de auditores externos para elaborar el informe de auditoría anual del ejercicio 2022.</t>
  </si>
  <si>
    <t>7.1.2</t>
  </si>
  <si>
    <t>Entrega de información del requerimiento inicial.</t>
  </si>
  <si>
    <t>7.1.3</t>
  </si>
  <si>
    <t>Revisión de la infraestructura tecnológica.</t>
  </si>
  <si>
    <t>7.1.4</t>
  </si>
  <si>
    <t>Revisión del borrador del informe de auditoría.</t>
  </si>
  <si>
    <t>7.1.5</t>
  </si>
  <si>
    <t>Entrega final del informe de auditoría.</t>
  </si>
  <si>
    <t>7.1.6</t>
  </si>
  <si>
    <t>Los resultados del informe de auditoría fue presentado a la dirección general y al Comité de la Entidad, a manera de informe.</t>
  </si>
  <si>
    <t>7.1.7</t>
  </si>
  <si>
    <t>Que cuando la revisión sea por auditoría interna, que no participe algún miembro del Comité de la Entidad.</t>
  </si>
  <si>
    <t>7.1.8</t>
  </si>
  <si>
    <t>Que el informe de auditoría se haya presentado a la Secretaría, por conducto de la Comisión a través del SITI dentro de los sesenta días naturales.</t>
  </si>
  <si>
    <t>8. Capacitación y difusión</t>
  </si>
  <si>
    <t>8. Capacitación y difusión
Programa de capacitación</t>
  </si>
  <si>
    <t>8.1.1</t>
  </si>
  <si>
    <t>41a, I</t>
  </si>
  <si>
    <t>El Oficial de Cumplimiento elaboró un programa de capacitación que aplique al ejercicio 2022.</t>
  </si>
  <si>
    <t>8.1.2</t>
  </si>
  <si>
    <t>Esta dirigido especialmente a los miembros de sus respectivos Consejos de Administración o Administrador Único, según corresponda, directivos, miembros del Comité, Oficial de Cumplimiento, así como funcionarios, empleados y apoderados.</t>
  </si>
  <si>
    <t>8.1.5</t>
  </si>
  <si>
    <t>Contempla entre otros aspectos, lo relativo al contenido del Manual de Cumplimiento, así como sobre las actividades, servicios, productos o actividades que ofrece la Entidad, así como que es coherente con los resultados de la implementación de la metodología a que se refiere el Capítulo II Bis de las Disposiciones.</t>
  </si>
  <si>
    <t>8. Capacitación y difusión
Capacitación anual</t>
  </si>
  <si>
    <t>8.2.1</t>
  </si>
  <si>
    <t>Se impartieron cursos al menos una vez al año a miembros de sus respectivos Consejos de Administración o Administrador Único, según corresponda, directivos, miembros del Comité, Oficial de Cumplimiento, así como funcionarios, empleados y apoderados.</t>
  </si>
  <si>
    <t>8. Capacitación y difusión
Constancias de capacitación, calificación mínima de aprobación y medidas en caso de no haber obtenido resultados satisfactorios</t>
  </si>
  <si>
    <t>8.3.1</t>
  </si>
  <si>
    <t>42a</t>
  </si>
  <si>
    <t>La Entidad o el consultor externo emitió las constancias de participación.</t>
  </si>
  <si>
    <t>8.3.2</t>
  </si>
  <si>
    <t>La Entidad o los consultores externos aplicaron evaluaciones sobre los conocimientos adquiridos en el curso de capacitación.</t>
  </si>
  <si>
    <t>8.3.3</t>
  </si>
  <si>
    <t>Adoptaron medidas respecto de aquellos funcionarios y empleados que no obtuvieron resultados satisfactorios en las evaluaciones (de acuerdo a la calificación mínima establecida por la Entidad) sobre los conocimientos adquiridos del curso de capacitación en materia de PLD/FT.</t>
  </si>
  <si>
    <t>8.3.4</t>
  </si>
  <si>
    <t xml:space="preserve">La Entidad impartió cursos de capacitación a empleados y funcionarios en áreas de atención al público o de administración de recursos de manera previa o simultánea a su ingreso o al inicio de sus actividades en dichas áreas. </t>
  </si>
  <si>
    <t>8. Capacitación y difusión
Capacitación a empleados que laboren en áreas de atención al público en general y de administración de recursos</t>
  </si>
  <si>
    <t>8.4.1</t>
  </si>
  <si>
    <t>8. Capacitación y difusión
Difusión</t>
  </si>
  <si>
    <t>8.5.1</t>
  </si>
  <si>
    <t>El Oficial de Cumplimiento elaboró un programa de difusión que aplique al ejercicio 2022.</t>
  </si>
  <si>
    <t>8.5.2</t>
  </si>
  <si>
    <t>41a, II</t>
  </si>
  <si>
    <t>Difundió las Disposiciones de carácter general.</t>
  </si>
  <si>
    <t>8.5.3</t>
  </si>
  <si>
    <t>Difundió información sobre técnicas, métodos y tendencias para prevenir, detectar y reportar Operaciones que pudiesen actualizar los supuestos previstos en los artículos 139 Quáter o 400 Bis del Código Penal Federal.</t>
  </si>
  <si>
    <t>8.5.4</t>
  </si>
  <si>
    <t>En el caso de que el Manual haya sido actualizado en el ejercicio, se difundió al personal.</t>
  </si>
  <si>
    <t>MES</t>
  </si>
  <si>
    <t>CONTROL DE ESTRUCTURAS INTERNAS</t>
  </si>
  <si>
    <t>Integración del Comité de Comunicación y Control al cierre del ejercicio 2022</t>
  </si>
  <si>
    <t>Área</t>
  </si>
  <si>
    <t>Cargo dentro del Comité</t>
  </si>
  <si>
    <t>Titular / Suplente</t>
  </si>
  <si>
    <t>Nombre completo sin abreviaturas</t>
  </si>
  <si>
    <t>Cargo dentro de la Entidad</t>
  </si>
  <si>
    <t>Vigente al 31 de diciembre 2022</t>
  </si>
  <si>
    <t>Indicar</t>
  </si>
  <si>
    <t>b)</t>
  </si>
  <si>
    <t>Integración inicial del Comité de Comunicación y Control</t>
  </si>
  <si>
    <t>Fecha del acta del Consejo de Administración o Administrador Único del nombramiento inicial de los integrantes del CCC</t>
  </si>
  <si>
    <t>Fecha del acuse de presentación del nombramiento inicial de los integrantes del CCC</t>
  </si>
  <si>
    <t xml:space="preserve">Fue presentado el nombramiento ante la Comisión dentro de los 15 días a la fecha en que se haya realizado el nombramiento </t>
  </si>
  <si>
    <t>Revisar que sea presentado dentro de los 15 días del nombramiento</t>
  </si>
  <si>
    <t>Folio:</t>
  </si>
  <si>
    <t>Periodo:</t>
  </si>
  <si>
    <t>e)</t>
  </si>
  <si>
    <t>Revisión de los mecanismos, procesos, plazos y momentos en que operó su Comité de Comunicación y Control</t>
  </si>
  <si>
    <t>Mes de sesión ejercicio 2022</t>
  </si>
  <si>
    <t>Fecha de la sesión del Comité</t>
  </si>
  <si>
    <t>Estuvieron presentes la mayoría de los integrantes del Comité</t>
  </si>
  <si>
    <t>Decisiones tomadas por el voto favorable de la mayoría de los miembros presentes en la sesión o voto de calidad del Presidente</t>
  </si>
  <si>
    <t>Actas de sesión firmadas por el presidente y secretario del Comité o sus suplentes</t>
  </si>
  <si>
    <t>Número de veces que los suplentes representaron a los propietarios del Comité</t>
  </si>
  <si>
    <t>¿Los representaron en más de dos sesiones no continuas por semestre?</t>
  </si>
  <si>
    <t>Acta cuenta con evidencia de dictaminación de op. inusuales e internas preocupantes y demás resoluciones adoptadas</t>
  </si>
  <si>
    <t xml:space="preserve">Indicar la evidencia faltante  </t>
  </si>
  <si>
    <t>Indicar fecha del acta</t>
  </si>
  <si>
    <t>SI/NO</t>
  </si>
  <si>
    <t>Indicar número</t>
  </si>
  <si>
    <t>Indicar SI/NO</t>
  </si>
  <si>
    <t>Febrero</t>
  </si>
  <si>
    <t>Marzo</t>
  </si>
  <si>
    <t>Abril</t>
  </si>
  <si>
    <t>Mayo</t>
  </si>
  <si>
    <t>Junio</t>
  </si>
  <si>
    <t>Julio</t>
  </si>
  <si>
    <t>Agosto</t>
  </si>
  <si>
    <t>Septiembre</t>
  </si>
  <si>
    <t>Octubre</t>
  </si>
  <si>
    <t>Noviembre</t>
  </si>
  <si>
    <t>Diciembre</t>
  </si>
  <si>
    <t>Revisión del cumplimiento de las funciones y obligaciones del Comité de Comunicación y Control y en caso de no haber contado con un Comité, el cumplimiento de estas por el Oficial de Cumplimiento 2022</t>
  </si>
  <si>
    <t>Asunto</t>
  </si>
  <si>
    <t>Ene</t>
  </si>
  <si>
    <t>Feb</t>
  </si>
  <si>
    <t>Mar</t>
  </si>
  <si>
    <t>Abr</t>
  </si>
  <si>
    <t>May</t>
  </si>
  <si>
    <t>Jun</t>
  </si>
  <si>
    <t>Jul</t>
  </si>
  <si>
    <t>Ago</t>
  </si>
  <si>
    <t>Sept</t>
  </si>
  <si>
    <t>Oct</t>
  </si>
  <si>
    <t>Nov</t>
  </si>
  <si>
    <t>Dic</t>
  </si>
  <si>
    <t>Soporte documental</t>
  </si>
  <si>
    <r>
      <rPr>
        <b/>
        <sz val="10"/>
        <color theme="1"/>
        <rFont val="Calibri"/>
        <family val="2"/>
        <scheme val="minor"/>
      </rPr>
      <t xml:space="preserve">Disposición 35a, frac. I. </t>
    </r>
    <r>
      <rPr>
        <sz val="10"/>
        <color theme="1"/>
        <rFont val="Calibri"/>
        <family val="2"/>
        <scheme val="minor"/>
      </rPr>
      <t>Someter a aprobación del Comité o del Comité de Auditoría o la persona establecida en su Manual de Cumplimiento, el Manual de Cumplimiento, así como cualquier modificación al mismo.</t>
    </r>
  </si>
  <si>
    <t>Sí/No/No aplica</t>
  </si>
  <si>
    <r>
      <rPr>
        <b/>
        <sz val="10"/>
        <color theme="1"/>
        <rFont val="Calibri"/>
        <family val="2"/>
        <scheme val="minor"/>
      </rPr>
      <t>Disposición 35a, frac. I Bis.</t>
    </r>
    <r>
      <rPr>
        <sz val="10"/>
        <color theme="1"/>
        <rFont val="Calibri"/>
        <family val="2"/>
        <scheme val="minor"/>
      </rPr>
      <t xml:space="preserve"> Presentación al Consejo de Administración o Administrador Único de la Entidad, según corresponda, los resultados de la implementación de la metodología elaborada e implementada para llevar a cabo la evaluación de Riesgos a la que hace referencia el Capítulo II Bis de las Disposiciones.</t>
    </r>
  </si>
  <si>
    <t>EBR2022</t>
  </si>
  <si>
    <r>
      <rPr>
        <b/>
        <sz val="10"/>
        <color theme="1"/>
        <rFont val="Calibri"/>
        <family val="2"/>
        <scheme val="minor"/>
      </rPr>
      <t xml:space="preserve">Disposición 35a, frac. II. </t>
    </r>
    <r>
      <rPr>
        <sz val="10"/>
        <color theme="1"/>
        <rFont val="Calibri"/>
        <family val="2"/>
        <scheme val="minor"/>
      </rPr>
      <t>El Comité o la persona establecida en su Manual de Cumplimiento, hayan fungido como instancia competente para conocer los resultados obtenidos por el área de auditoría interna de la Entidad o, en su caso, por el auditor externo independiente a que se refiere la 52 ª de las Disposiciones,  a efecto de adoptar las acciones necesarias tendientes a corregir fallas, deficiencias u omisiones.</t>
    </r>
  </si>
  <si>
    <r>
      <rPr>
        <b/>
        <sz val="10"/>
        <color theme="1"/>
        <rFont val="Calibri"/>
        <family val="2"/>
        <scheme val="minor"/>
      </rPr>
      <t xml:space="preserve">Disposición 35a, frac. III. </t>
    </r>
    <r>
      <rPr>
        <sz val="10"/>
        <color theme="1"/>
        <rFont val="Calibri"/>
        <family val="2"/>
        <scheme val="minor"/>
      </rPr>
      <t>El Comité o la persona que establece su Manual de Cumplimiento, conozca aquellos Clientes que por sus características sean clasificados con un Grado de Riesgo alto, de acuerdo con los informes que al efecto le presente el Oficial de Cumplimiento y, en su caso, formular las recomendaciones que estime procedentes.</t>
    </r>
  </si>
  <si>
    <t>Sin clientes de alto riesgo</t>
  </si>
  <si>
    <t>Listado con bajo riesgo</t>
  </si>
  <si>
    <r>
      <rPr>
        <b/>
        <sz val="10"/>
        <color theme="1"/>
        <rFont val="Calibri"/>
        <family val="2"/>
        <scheme val="minor"/>
      </rPr>
      <t xml:space="preserve">Disposición 35a, frac. IV. </t>
    </r>
    <r>
      <rPr>
        <sz val="10"/>
        <color theme="1"/>
        <rFont val="Calibri"/>
        <family val="2"/>
        <scheme val="minor"/>
      </rPr>
      <t>El Comité o el Oficial de Cumplimiento estableció y difundió los criterios para la clasificación de los Clientes, en función de su Grado de Riesgo, de conformidad con lo señalado en la 21ª de las Disposiciones.</t>
    </r>
  </si>
  <si>
    <r>
      <rPr>
        <b/>
        <sz val="10"/>
        <color theme="1"/>
        <rFont val="Calibri"/>
        <family val="2"/>
        <scheme val="minor"/>
      </rPr>
      <t xml:space="preserve">Disposición 35a, frac. V. </t>
    </r>
    <r>
      <rPr>
        <sz val="10"/>
        <color theme="1"/>
        <rFont val="Calibri"/>
        <family val="2"/>
        <scheme val="minor"/>
      </rPr>
      <t>El Comité o la persona que establezca su Manual de Cumplimiento, se aseguraran de que los sistemas automatizados de la Entidad, contengan las listas a las que se refiere la fracción X de la 30ª, la lista de Personas Políticamente Expuestas que, conforme a la 58ª de las Disposiciones, la Entidad debe elaborar y la Lista de Personas Bloqueadas.</t>
    </r>
  </si>
  <si>
    <r>
      <rPr>
        <b/>
        <sz val="10"/>
        <color theme="1"/>
        <rFont val="Calibri"/>
        <family val="2"/>
        <scheme val="minor"/>
      </rPr>
      <t xml:space="preserve">Disposición 35a, frac. VI. </t>
    </r>
    <r>
      <rPr>
        <sz val="10"/>
        <color theme="1"/>
        <rFont val="Calibri"/>
        <family val="2"/>
        <scheme val="minor"/>
      </rPr>
      <t>El Comité u Oficial de Cumplimiento dictaminaran las Operaciones que deban ser reportadas a la Secretaría, por conducto de la Comisión, como Operaciones Inusuales u Operaciones Internas Preocupantes, en los términos establecidos en las Disposiciones.</t>
    </r>
  </si>
  <si>
    <r>
      <rPr>
        <b/>
        <sz val="10"/>
        <color theme="1"/>
        <rFont val="Calibri"/>
        <family val="2"/>
        <scheme val="minor"/>
      </rPr>
      <t xml:space="preserve">Disposición 35a, frac. VII. </t>
    </r>
    <r>
      <rPr>
        <sz val="10"/>
        <color theme="1"/>
        <rFont val="Calibri"/>
        <family val="2"/>
        <scheme val="minor"/>
      </rPr>
      <t>El Comité o la persona que establezca su Manual de Cumplimiento, aprobara los programas de capacitación para el personal de la Entidad, en materia de prevención, detección y reporte de actos, omisiones u Operaciones que pudiesen actualizar los supuestos previstos en los artículos 139 Quáter o 400 Bis del Código Penal Federal.</t>
    </r>
  </si>
  <si>
    <t>Aprobación</t>
  </si>
  <si>
    <t>Buscar proveedor externo</t>
  </si>
  <si>
    <t>vo.bo material</t>
  </si>
  <si>
    <t>capacitación e-learnign</t>
  </si>
  <si>
    <r>
      <rPr>
        <b/>
        <sz val="10"/>
        <color theme="1"/>
        <rFont val="Calibri"/>
        <family val="2"/>
        <scheme val="minor"/>
      </rPr>
      <t>Disposición 35a, frac. VIII.</t>
    </r>
    <r>
      <rPr>
        <sz val="10"/>
        <color theme="1"/>
        <rFont val="Calibri"/>
        <family val="2"/>
        <scheme val="minor"/>
      </rPr>
      <t xml:space="preserve"> El Comité o la persona que establezca su Manual de Cumplimiento, informara al área competente de la Entidad, respecto de conductas realizadas por los directivos, funcionarios, empleados o apoderados de la misma, que provoquen que esta incurra en infracción a lo previsto en las Disposiciones, o en los casos en que dichos directivos, funcionarios, empleados o apoderados contravengan lo previsto en el Manual de Cumplimiento, con objeto de que se impongan las medidas disciplinarias correspondientes.</t>
    </r>
  </si>
  <si>
    <r>
      <rPr>
        <b/>
        <sz val="10"/>
        <color theme="1"/>
        <rFont val="Calibri"/>
        <family val="2"/>
        <scheme val="minor"/>
      </rPr>
      <t xml:space="preserve">Disposición 35a, frac. IX. </t>
    </r>
    <r>
      <rPr>
        <sz val="10"/>
        <color theme="1"/>
        <rFont val="Calibri"/>
        <family val="2"/>
        <scheme val="minor"/>
      </rPr>
      <t>El Comité o la persona que establezca su Manual de Cumplimiento, resolviera los demás asuntos que se sometan a su consideración, relacionados con la aplicación de las Disposiciones.</t>
    </r>
  </si>
  <si>
    <r>
      <rPr>
        <b/>
        <sz val="10"/>
        <color theme="1"/>
        <rFont val="Calibri"/>
        <family val="2"/>
        <scheme val="minor"/>
      </rPr>
      <t xml:space="preserve">Disposición 35a, frac. X. </t>
    </r>
    <r>
      <rPr>
        <sz val="10"/>
        <color theme="1"/>
        <rFont val="Calibri"/>
        <family val="2"/>
        <scheme val="minor"/>
      </rPr>
      <t>El Comité o la persona que establezca su Manual de Cumplimiento, se haya asegurado de que la Entidad, para el cumplimiento de las presentes Disposiciones, cuente con las estructuras internas en cuanto a organización, número de personas, recursos materiales y tecnológicos, de acuerdo con los resultados de la implementación de la metodología a que se refiere el Capítulo II Bis de las Disposiciones.</t>
    </r>
  </si>
  <si>
    <r>
      <rPr>
        <b/>
        <sz val="10"/>
        <color theme="1"/>
        <rFont val="Calibri"/>
        <family val="2"/>
        <scheme val="minor"/>
      </rPr>
      <t>Disposición 35a, frac. XI.</t>
    </r>
    <r>
      <rPr>
        <sz val="10"/>
        <color theme="1"/>
        <rFont val="Calibri"/>
        <family val="2"/>
        <scheme val="minor"/>
      </rPr>
      <t xml:space="preserve"> El Comité o la persona que establezca su Manual de Cumplimiento, se aseguró de que la clave referida en la 60 ª sea solicitada y se mantenga actualizada a nombre del Oficial de Cumplimiento u Oficial de Cumplimiento que sea designado como interino, según corresponda.</t>
    </r>
  </si>
  <si>
    <r>
      <rPr>
        <b/>
        <sz val="10"/>
        <color theme="1"/>
        <rFont val="Calibri"/>
        <family val="2"/>
        <scheme val="minor"/>
      </rPr>
      <t>Disposición 35a, frac. XII.</t>
    </r>
    <r>
      <rPr>
        <sz val="10"/>
        <color theme="1"/>
        <rFont val="Calibri"/>
        <family val="2"/>
        <scheme val="minor"/>
      </rPr>
      <t xml:space="preserve"> El Comité o la persona que establezca su Manual de Cumplimiento, realizó las demás acciones necesarias para el adecuado cumplimiento de sus funciones y obligaciones.</t>
    </r>
  </si>
  <si>
    <t>Revisión del cumplimiento de las funciones y obligaciones del Oficial de Cumplimiento 2021</t>
  </si>
  <si>
    <r>
      <rPr>
        <b/>
        <sz val="10"/>
        <color theme="1"/>
        <rFont val="Calibri"/>
        <family val="2"/>
        <scheme val="minor"/>
      </rPr>
      <t xml:space="preserve">Fracción I, Disposición de la 39a. </t>
    </r>
    <r>
      <rPr>
        <sz val="10"/>
        <color theme="1"/>
        <rFont val="Calibri"/>
        <family val="2"/>
        <scheme val="minor"/>
      </rPr>
      <t>El Oficial de Cumplimiento sometió a la consideración del Comité el Manual de Cumplimiento, que contenga las políticas de identificación y conocimiento del Cliente y del Usuario, y los criterios, medidas y procedimientos que deben adoptar para dar cumplimiento a lo previsto en las Disposiciones.</t>
    </r>
  </si>
  <si>
    <r>
      <rPr>
        <b/>
        <sz val="10"/>
        <color theme="1"/>
        <rFont val="Calibri"/>
        <family val="2"/>
        <scheme val="minor"/>
      </rPr>
      <t>Fracción I Bis, Disposición 39a.</t>
    </r>
    <r>
      <rPr>
        <sz val="10"/>
        <color theme="1"/>
        <rFont val="Calibri"/>
        <family val="2"/>
        <scheme val="minor"/>
      </rPr>
      <t xml:space="preserve"> El Oficial de Cumplimiento sometió a la aprobación del Comité la metodología diseñada para llevar a cabo la evaluación de Riesgos a la que hace referencia el Capítulo II Bis de las Disposiciones, así como los resultados de su implementación.</t>
    </r>
  </si>
  <si>
    <r>
      <rPr>
        <b/>
        <sz val="10"/>
        <color theme="1"/>
        <rFont val="Calibri"/>
        <family val="2"/>
        <scheme val="minor"/>
      </rPr>
      <t>Fracción II, Disposición 39a.</t>
    </r>
    <r>
      <rPr>
        <sz val="10"/>
        <color theme="1"/>
        <rFont val="Calibri"/>
        <family val="2"/>
        <scheme val="minor"/>
      </rPr>
      <t xml:space="preserve"> El Oficial de Cumplimiento verificó la correcta ejecución de las medidas adoptadas por el Comité, en ejercicio de las facultades previstas en la 35ª de las Disposiciones.</t>
    </r>
  </si>
  <si>
    <r>
      <rPr>
        <b/>
        <sz val="10"/>
        <color theme="1"/>
        <rFont val="Calibri"/>
        <family val="2"/>
        <scheme val="minor"/>
      </rPr>
      <t xml:space="preserve">Fracción III, Disposición 39a. </t>
    </r>
    <r>
      <rPr>
        <sz val="10"/>
        <color theme="1"/>
        <rFont val="Calibri"/>
        <family val="2"/>
        <scheme val="minor"/>
      </rPr>
      <t>El Oficial de Cumplimiento informó al Comité respecto de conductas, actividades o comportamientos realizados por los directivos, funcionarios, empleados o apoderados de la Entidad, que provoquen que esta incurra en infracción a lo dispuesto en la Ley General de Organizaciones y Actividades Auxiliares del Crédito o las Disposiciones, así como de los casos en que dichos directivos, funcionarios, empleados o apoderados contravengan lo previsto en el Manual de Cumplimiento, con objeto de que se impusieran las medidas disciplinarias correspondientes.</t>
    </r>
  </si>
  <si>
    <r>
      <rPr>
        <b/>
        <sz val="10"/>
        <color theme="1"/>
        <rFont val="Calibri"/>
        <family val="2"/>
        <scheme val="minor"/>
      </rPr>
      <t xml:space="preserve">Fracción IV, Disposición 39a. </t>
    </r>
    <r>
      <rPr>
        <sz val="10"/>
        <color theme="1"/>
        <rFont val="Calibri"/>
        <family val="2"/>
        <scheme val="minor"/>
      </rPr>
      <t>El Oficial de Cumplimiento hizo del conocimiento del Comité aquellos Clientes que por sus características fueron clasificados con un Grado de Riesgo alto por la propia Entidad.</t>
    </r>
  </si>
  <si>
    <r>
      <rPr>
        <b/>
        <sz val="10"/>
        <color theme="1"/>
        <rFont val="Calibri"/>
        <family val="2"/>
        <scheme val="minor"/>
      </rPr>
      <t xml:space="preserve">Fracción V, Disposición 39a. </t>
    </r>
    <r>
      <rPr>
        <sz val="10"/>
        <color theme="1"/>
        <rFont val="Calibri"/>
        <family val="2"/>
        <scheme val="minor"/>
      </rPr>
      <t xml:space="preserve">El Oficial de Cumplimiento coordinó tanto las actividades de seguimiento de Operaciones, como las investigaciones que se llevaron a cabo a nivel institucional, con la finalidad de que el Comité contaran con los elementos necesarios para dictaminarlas, en su caso, como Operaciones Inusuales u Operaciones Internas Preocupantes. </t>
    </r>
  </si>
  <si>
    <r>
      <rPr>
        <b/>
        <sz val="10"/>
        <color theme="1"/>
        <rFont val="Calibri"/>
        <family val="2"/>
        <scheme val="minor"/>
      </rPr>
      <t>Fracción V, Disposición 39a.</t>
    </r>
    <r>
      <rPr>
        <sz val="10"/>
        <color theme="1"/>
        <rFont val="Calibri"/>
        <family val="2"/>
        <scheme val="minor"/>
      </rPr>
      <t xml:space="preserve"> El Oficial de Cumplimiento o, en su caso, el personal que este designó, verificara que se analizaron las alertas correspondientes y documentado las investigaciones respectivas.</t>
    </r>
  </si>
  <si>
    <r>
      <rPr>
        <b/>
        <sz val="10"/>
        <color theme="1"/>
        <rFont val="Calibri"/>
        <family val="2"/>
        <scheme val="minor"/>
      </rPr>
      <t>Fracción VI, Disposición 39a.</t>
    </r>
    <r>
      <rPr>
        <sz val="10"/>
        <color theme="1"/>
        <rFont val="Calibri"/>
        <family val="2"/>
        <scheme val="minor"/>
      </rPr>
      <t xml:space="preserve"> El Oficial de Cumplimiento envió a la Secretaría, por conducto de la Comisión, los reportes de Operaciones a que se refiere la 33 ª de las Disposiciones, así como aquellos que consideró urgentes, e informó de ello al Comité, en su siguiente sesión.</t>
    </r>
  </si>
  <si>
    <r>
      <rPr>
        <b/>
        <sz val="10"/>
        <color theme="1"/>
        <rFont val="Calibri"/>
        <family val="2"/>
        <scheme val="minor"/>
      </rPr>
      <t>Fracción VII, Disposición 39a.</t>
    </r>
    <r>
      <rPr>
        <sz val="10"/>
        <color theme="1"/>
        <rFont val="Calibri"/>
        <family val="2"/>
        <scheme val="minor"/>
      </rPr>
      <t xml:space="preserve"> El Oficial de Cumplimiento funjió como instancia de consulta al interior de la Entidad respecto de la aplicación de las Disposiciones, así como del Manual de Cumplimiento.</t>
    </r>
  </si>
  <si>
    <r>
      <rPr>
        <b/>
        <sz val="10"/>
        <color theme="1"/>
        <rFont val="Calibri"/>
        <family val="2"/>
        <scheme val="minor"/>
      </rPr>
      <t>Fracción VIII, Disposición 39a.</t>
    </r>
    <r>
      <rPr>
        <sz val="10"/>
        <color theme="1"/>
        <rFont val="Calibri"/>
        <family val="2"/>
        <scheme val="minor"/>
      </rPr>
      <t xml:space="preserve"> El Oficial de Cumplimiento definió las características, contenido y alcance de los programas de capacitación del personal de la Entidad, a que hace referencia la 41ª de las Disposiciones.</t>
    </r>
  </si>
  <si>
    <r>
      <rPr>
        <b/>
        <sz val="10"/>
        <color theme="1"/>
        <rFont val="Calibri"/>
        <family val="2"/>
        <scheme val="minor"/>
      </rPr>
      <t>Fracción IX, Disposición 39a.</t>
    </r>
    <r>
      <rPr>
        <sz val="10"/>
        <color theme="1"/>
        <rFont val="Calibri"/>
        <family val="2"/>
        <scheme val="minor"/>
      </rPr>
      <t xml:space="preserve"> El Oficial de Cumplimiento recibió y verificó que la Entidad diera respuesta los requerimientos de información y documentación, así como a las órdenes de aseguramiento o desbloqueo de Operaciones que, por conducto de la Comisión, formularon las autoridades competentes en materia de prevención, investigación, persecución y sanción de conductas que pudiesen actualizar los supuestos previstos en los artículos 139 Quáter o 400 Bis del Código Penal Federal; asimismo, verificó que la Entidad cuenta con los procedimientos apropiados para asegurar que la Entidad dé cumplimiento a lo previsto en la 63 ª de las Disposiciones.</t>
    </r>
  </si>
  <si>
    <r>
      <rPr>
        <b/>
        <sz val="10"/>
        <color theme="1"/>
        <rFont val="Calibri"/>
        <family val="2"/>
        <scheme val="minor"/>
      </rPr>
      <t>Fracción X, Disposición 39a.</t>
    </r>
    <r>
      <rPr>
        <sz val="10"/>
        <color theme="1"/>
        <rFont val="Calibri"/>
        <family val="2"/>
        <scheme val="minor"/>
      </rPr>
      <t xml:space="preserve"> El Oficial de Cumplimiento fungió como enlace entre el Comité, la Secretaría y la Comisión, para los asuntos referentes a la aplicación de las Disposiciones.</t>
    </r>
  </si>
  <si>
    <r>
      <rPr>
        <b/>
        <sz val="10"/>
        <color theme="1"/>
        <rFont val="Calibri"/>
        <family val="2"/>
        <scheme val="minor"/>
      </rPr>
      <t>Fracción XI, Disposición 39a.</t>
    </r>
    <r>
      <rPr>
        <sz val="10"/>
        <color theme="1"/>
        <rFont val="Calibri"/>
        <family val="2"/>
        <scheme val="minor"/>
      </rPr>
      <t xml:space="preserve"> El Oficial de Cumplimiento se cercioró que el área a su cargo recibió directamente y dio seguimiento a los avisos emitidos por los empleados y funcionarios de la Entidad, sobre hechos y actos que pudieran ser susceptibles de considerarse como Operaciones Inusuales u Operaciones Internas Preocupantes.</t>
    </r>
  </si>
  <si>
    <t>30a, I</t>
  </si>
  <si>
    <t>30a, II</t>
  </si>
  <si>
    <t>30a, III</t>
  </si>
  <si>
    <t>30a, IV</t>
  </si>
  <si>
    <t>30a, V</t>
  </si>
  <si>
    <t>30a, VI</t>
  </si>
  <si>
    <t>30a, VII</t>
  </si>
  <si>
    <t>30a, VIII</t>
  </si>
  <si>
    <t>30a, IX</t>
  </si>
  <si>
    <t>30a, X</t>
  </si>
  <si>
    <t>30a, XI</t>
  </si>
  <si>
    <t>30a, XII</t>
  </si>
  <si>
    <t>30a, XIII</t>
  </si>
  <si>
    <t xml:space="preserve"> Las condiciones específicas de cada uno de sus Clientes, como son, entre otras, sus antecedentes, el grado de Riesgo en que lo haya clasificado la Entidad de que se trate, así como su ocupación, profesión, actividad, giro del negocio u objeto social correspondiente.</t>
  </si>
  <si>
    <t>Los tipos, montos, frecuencia y naturaleza de las Operaciones que comúnmente realicen sus Clientes o, en su caso, sus Usuarios que tengan registrados y, tratándose de Clientes, la relación que guarden con los antecedentes y la actividad económica conocida de ellos.</t>
  </si>
  <si>
    <t>Los montos inusualmente elevados, la complejidad y las modalidades no habituales de las Operaciones que realicen los Clientes o, en su caso, los Usuarios que tengan registrados.</t>
  </si>
  <si>
    <t>Cuando las Operaciones vinculadas a un mismo contrato, así como aquellas llevadas a cabo por un mismo Usuario con moneda extranjera, cheques de viajero y monedas acuñadas en platino, oro y plata, por montos múltiples o fraccionados que, por cada Operación individual, sean iguales o superen el equivalente a quinientos dólares de los Estados Unidos de América, realizadas en un mismo mes calendario que sumen, al menos, la cantidad de siete mil quinientos dólares de los Estados Unidos de América o su equivalente en la moneda de que se trate, siempre que las mismas no correspondan al perfil transaccional del Cliente o que, respecto de aquellas realizadas por Usuarios, se pueda inferir de su estructuración una posible intención de fraccionar las Operaciones para evitar ser detectadas por la Entidad para efectos de las Disposiciones.</t>
  </si>
  <si>
    <t>Los usos y prácticas crediticias, fiduciarias y mercantiles que priven en la plaza en que operen.</t>
  </si>
  <si>
    <t>Cuando los Clientes o Usuarios se nieguen a proporcionar los datos o documentos de identificación correspondientes, señalados en los supuestos previstos al efecto en las presentes Disposiciones o cuando se detecte que presentan información que pudiera ser apócrifa o datos que pudieran ser falsos.</t>
  </si>
  <si>
    <t>Cuando los Clientes o Usuarios intenten sobornar, persuadir o intimidar al personal de la Entidad, con el propósito de lograr su cooperación para realizar actividades u Operaciones Inusuales o se contravengan las Disposiciones, otras normas legales o las políticas, criterios, medidas y procedimientos de la Entidad en la materia.</t>
  </si>
  <si>
    <t>Cuando los Clientes o Usuarios pretendan evadir los parámetros con que cuentan la Entidad para reportar las Operaciones a que se refieren las Disposiciones.</t>
  </si>
  <si>
    <t>Cuando se presenten indicios o hechos extraordinarios respecto de los cuales la Entidad no cuente con una explicación, que den lugar a cualquier tipo de suspicacia sobre el origen, manejo o destino de los recursos utilizados en las Operaciones respectivas, o cuando existan sospechas de que dichos indicios o hechos pudieran estar relacionados con actos, omisiones u Operaciones que pudieran favorecer, prestar ayuda, auxilio o cooperación de cualquier especie para la comisión del delito previsto en el artículo 139 Quáter del Código Penal Federal, o que pudiesen ubicarse en los supuestos del artículo 400 Bis del mismo ordenamiento legal.</t>
  </si>
  <si>
    <t xml:space="preserve">Cuando las Operaciones que los Clientes o Usuarios pretendan realizar involucren países o jurisdicciones: a) Que la legislación mexicana considera que aplican regímenes fiscales preferentes, o b) Que, a juicio de las autoridades mexicanas, organismos internacionales o agrupaciones intergubernamentales en materia de prevención de operaciones con recursos de procedencia ilícita o financiamiento al terrorismo de los que México sea miembro, no cuenten con medidas para prevenir, detectar y combatir dichas operaciones, o bien, cuando la aplicación de dichas medidas sea deficiente. </t>
  </si>
  <si>
    <t>Cuando se presuma o existan dudas de que un Cliente o Usuario opera en beneficio, por encargo o a cuenta de un tercero, sin que lo haya declarado a la Entidad de que se trate, de acuerdo con lo señalado en las Disposiciones.</t>
  </si>
  <si>
    <t>Las condiciones bajo las cuales operan otros Clientes que hayan señalado dedicarse a la misma actividad, profesión o giro mercantil, o tener el mismo objeto social.</t>
  </si>
  <si>
    <t>Cuando se pretendan realizar Operaciones por parte de Clientes o Usuarios que se encuentren dentro de la Lista de Personas Bloqueadas.</t>
  </si>
  <si>
    <t>Circunstancias de Inusalidad</t>
  </si>
  <si>
    <t>Cuando existan elementos, indicios o indicadores que derivado del análisis integral de la operativa inusual y a criterio de la ENTIDAD, se considere están relacionados con la probable comisión de LD/FT u otros delitos u otros delitos y están establecidos en el Manual de 24 horas. O bien, cuando posterior al envío de un reporte de “24 Horas”,se identifiquen elementos de inusualidad adicional.</t>
  </si>
  <si>
    <t>1.2.2 Actividad Económica o giro mercantil del sujeto reportado, declarado u obtenido por la ENTIDAD</t>
  </si>
  <si>
    <t xml:space="preserve">Fecha de inicio con la ENTIDAD </t>
  </si>
  <si>
    <t>Descripción de la transaccionalidad, con base en la operativa irregular o inusual:
Detallar fecha o periodo, tipo de operación, instrumento monetario, monto, moneda, localidad donde se llevan 
a cabo las operaciones, frecuencia, origen y destino de los recursos, cuando se tengan los elementos de
identificación.
Si la operativa inusual no es acorde al perfil transaccional declarado en el contrato o determinado conforme al
comportamiento transaccional del cliente o usuario en un periodo determinado, detallar en qué reside la  discrepancia o desviación, es necesario realizar comparativas de la operativa inusual versus la actividad
económica y/o el perfil transaccional histórico declarado o determinado de por lo menos tres meses;  así como,
analizar y describir los elementos objetivos por los que la operativa no es acorde al comportamiento transaccional habitual o histórico del cliente o usuario. En este análisis comparativo, la ENTIDAD E.N.R., podrá apoyarse de la información establecida en su contrato, tablas de amortización, estados de cuenta y fechas
establecidas de pago</t>
  </si>
  <si>
    <t xml:space="preserve">Gestiones realizadas por la ENTIDAD E.N.R. </t>
  </si>
  <si>
    <t>Los resultados que haya realizado la ENTIDAD como: Resultados de visitas al cliente, o relacionados (proveedores, referencias). 
• Entrevistas vía telefónica. 
• Información de los documentos del expediente del cliente proporcionados al inicio de la 
relación contractual o, en su caso, del usuario. 
• Soporte documental para justificar la operación del cliente o usuario que, en su caso, 
refuercen la inusualidad. 
• Cuestionario adicional de conocimiento de cliente aplicado por el ejecutivo, gerente, etc.  
• Información pública de fuentes abiertas o cerradas que sea útil para el análisis. Ejemplos:
internet, bases de datos donde se compile información pública de autoridades, organismos u
organizaciones privadas nacionales e internacionales, etc.  
• Medidas de debida diligencia reforzada aplicadas conforme a la Metodología de Riesgos.  
• Investigaciones propias derivadas del análisis. 
• Cancelación del producto o de la relación comercial.
Otros, especificar la(s) gestión(es) realizada(s). 
Si no existen gestiones adicionales, indicar “no existen gestiones adicionales que aporten la
inusualidad.”</t>
  </si>
  <si>
    <t>Catálogo de actividades y considerar la actividad declarada en los datos de identificación o gestionada por la ENTIDAD . Nombre de la empresa y pueto desempeñado (gerente, sucursal, gerente corporativo, subgerente).</t>
  </si>
  <si>
    <t>PERFIL TRANSACCIONAL EN EL PERIODO DEL 01MAR2018 AL 30JUN2018 EL CLIENTE REALIZO 7 PAGOS A SU CREDITO EN LA CUENTA DE LA ENTIDAD, LOS CUALES FUERON REGISTRADOS EN EFECTIVO POR UN MONTO ACUMULADO DE 36,000.00 MN QUE CORRESPONDEN AL PAGO DE 6 DE SUS AMORTIZACIONES Y UN ABONO A CAPITAL POR 20,000.00 MN, EL SUJETO DECLARO AL CONTRATAR EL PRODUCTO QUE SE DEDICABA A LA COMERCIALIZACION DE CARNES Y QUE CADA SEIS MESES APORTARIA 20,000.00 MN A CAPITAL DEL PRESTAMO OTORGADO A 5 AÑOS//</t>
  </si>
  <si>
    <t>ALERTA LIQUIDACION ANTICIPADA DE CREDITO, ALERTA FRECUENCIA DE PAGO, ALERTA POR MONTOS EXCEDIDOS A SU MÁXIMO DE PAGO, ALERTA POR CAMBIO DE GRADO DE RIESGO POR ACTIVIDAD ECONOMICA//</t>
  </si>
  <si>
    <t>1.2.3 Actividad Económica o giro mercantil del sujeto reportado, declarado u obtenido por la ENTIDAD</t>
  </si>
  <si>
    <t>1.3 Identificación y datos generales de productos o servicios prestados por las ENTIDAD E.N.R.</t>
  </si>
  <si>
    <t>PERFIL TRANSACCIONAL EN EL PERIODO DEL 01MAR2018 AL 30JUN2018 EL CLIENTE REALIZO 7 PAGOS A SU CREDITO EN LA CUENTA DE LA ENTIDAD, LOS CUALES FUERON REGISTRADOS EN EFECTIVO POR UN MONTO ACUMULADO DE 36,000.00 MN QUE CORRESPONDEN AL PAGO DE 6 DE SUS AMORTIZACIONES Y UN ABONO A CAPITAL POR 20,000.00 MN, EL SUJETO DECLARO AL CONTRATAR EL PRODUCTO QUE SE DEDICABA A LA COMERCIALIZACION DE CARNES Y QUE CADA SEIS MESES APORTARIA 20,000.00 MN A CAPITAL DEL PRESTAMO OTORGADO A 4 AÑOS, PRESENTANDO INFORMACIÓN APÓCRIFA //</t>
  </si>
  <si>
    <t xml:space="preserve">2.4.1 Gestiones realizadas por la ENTIDAD E.N.R. </t>
  </si>
  <si>
    <t xml:space="preserve">Los resultados que haya realizado la ENTIDAD como: Resultados de visitas al cliente, o relacionados (proveedores, referencias). 
• Entrevistas vía telefónica. 
• Información de los documentos del expediente del cliente proporcionados al inicio de la 
relación contractual o, en su caso, del usuario. 
• Soporte documental para justificar la operación del cliente o usuario que, en su caso, 
refuercen la inusualidad. 
• Cuestionario adicional de conocimiento de cliente aplicado por el ejecutivo, gerente, etc.  
• Información pública de fuentes abiertas o cerradas que sea útil para el análisis. Ejemplos:
internet, bases de datos donde se compile información pública de autoridades, organismos u
organizaciones privadas nacionales e internacionales, etc.  
• Medidas de debida diligencia reforzada aplicadas conforme a la Metodología de Riesgos.  
• Investigaciones propias derivadas del análisis. 
• Cancelación del producto o de la relación comercial.
Otros, especificar la(s) gestión(es) realizada(s). 
Si no existen gestiones adicionales, indicarlo. </t>
  </si>
  <si>
    <t>1.3 Actividad Económica o giro mercantil del sujeto reportado, declarado u obtenido por la ENTIDAD</t>
  </si>
  <si>
    <t>Fecha de inicio de la relación comercial del Sujeto Reportado cliente con la ENTIDAD E.N.R. y/o la relación laboral con el Empleado.</t>
  </si>
  <si>
    <t>1.2 Actividad Económica o giro mercantil del sujeto reportado, declarado u obtenido por la ENTIDAD</t>
  </si>
  <si>
    <t>1.4 Tipo de Producto o o servicio(s) financiero(s) que se pretendía contratar con la ENTIDAD E.N.R.</t>
  </si>
  <si>
    <t>Mencionar los elementos, Alerta, acto, hecho o situación con el que se relaciona al sujeto reportado, por el cual la ENTIDAD E.N.R. determinó no establecer una relación comercial con el sujeto reportado.
¿En qué consistió la operación o hecho alertado?
¿Existen alerta anteriores?, ¿son por la misma razón?, ¿fueron reportadas?
¿Cuáles son los elementos por los que no se descartó la alerta?</t>
  </si>
  <si>
    <t>35/40</t>
  </si>
  <si>
    <t>36/41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</si>
</sst>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5"/>
      <color theme="3"/>
      <name val="Calibri"/>
      <family val="2"/>
      <scheme val="minor"/>
    </font>
    <font>
      <sz val="11"/>
      <color theme="0"/>
      <name val="Calibri"/>
      <family val="2"/>
      <scheme val="minor"/>
    </font>
    <font>
      <sz val="10"/>
      <color theme="0"/>
      <name val="Calibri"/>
      <family val="2"/>
      <scheme val="minor"/>
    </font>
    <font>
      <sz val="10"/>
      <color theme="1"/>
      <name val="Calibri"/>
      <family val="2"/>
      <scheme val="minor"/>
    </font>
    <font>
      <sz val="10"/>
      <name val="Calibri"/>
      <family val="2"/>
      <scheme val="minor"/>
    </font>
    <font>
      <b/>
      <sz val="11"/>
      <color theme="1"/>
      <name val="Calibri"/>
      <family val="2"/>
      <scheme val="minor"/>
    </font>
    <font>
      <b/>
      <sz val="10"/>
      <color theme="1"/>
      <name val="Calibri"/>
      <family val="2"/>
      <scheme val="minor"/>
    </font>
    <font>
      <b/>
      <sz val="10"/>
      <color theme="0"/>
      <name val="Calibri"/>
      <family val="2"/>
      <scheme val="minor"/>
    </font>
    <font>
      <b/>
      <sz val="10"/>
      <name val="Calibri"/>
      <family val="2"/>
      <scheme val="minor"/>
    </font>
    <font>
      <b/>
      <sz val="11"/>
      <name val="Calibri"/>
      <family val="2"/>
      <scheme val="minor"/>
    </font>
    <font>
      <b/>
      <sz val="10"/>
      <color rgb="FF0072C6"/>
      <name val="Calibri"/>
      <family val="2"/>
      <scheme val="minor"/>
    </font>
    <font>
      <b/>
      <sz val="18"/>
      <color rgb="FF0072C6"/>
      <name val="Calibri"/>
      <family val="2"/>
      <scheme val="minor"/>
    </font>
    <font>
      <b/>
      <sz val="20"/>
      <color rgb="FF0072C6"/>
      <name val="Calibri"/>
      <family val="2"/>
      <scheme val="minor"/>
    </font>
    <font>
      <b/>
      <sz val="20"/>
      <color rgb="FF006BC2"/>
      <name val="Calibri"/>
      <family val="2"/>
      <scheme val="minor"/>
    </font>
    <font>
      <b/>
      <sz val="16"/>
      <color rgb="FF006BC2"/>
      <name val="Calibri"/>
      <family val="2"/>
      <scheme val="minor"/>
    </font>
  </fonts>
  <fills count="12">
    <fill>
      <patternFill patternType="none"/>
    </fill>
    <fill>
      <patternFill patternType="gray125"/>
    </fill>
    <fill>
      <patternFill patternType="solid">
        <fgColor theme="8" tint="-0.499984740745262"/>
        <bgColor indexed="64"/>
      </patternFill>
    </fill>
    <fill>
      <patternFill patternType="solid">
        <fgColor rgb="FF00FFFF"/>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0072C6"/>
        <bgColor indexed="64"/>
      </patternFill>
    </fill>
    <fill>
      <patternFill patternType="solid">
        <fgColor rgb="FF006BC2"/>
        <bgColor indexed="64"/>
      </patternFill>
    </fill>
  </fills>
  <borders count="18">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1" applyNumberFormat="0" applyFill="0" applyAlignment="0" applyProtection="0"/>
  </cellStyleXfs>
  <cellXfs count="186">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left"/>
    </xf>
    <xf numFmtId="0" fontId="0" fillId="0" borderId="0" xfId="0" applyAlignment="1">
      <alignment horizontal="left" wrapText="1"/>
    </xf>
    <xf numFmtId="0" fontId="0" fillId="0" borderId="2" xfId="0" applyBorder="1" applyAlignment="1">
      <alignment horizontal="left" vertical="top" wrapText="1"/>
    </xf>
    <xf numFmtId="0" fontId="0" fillId="0" borderId="2" xfId="0" applyBorder="1" applyAlignment="1">
      <alignment horizontal="left" wrapText="1"/>
    </xf>
    <xf numFmtId="0" fontId="0" fillId="0" borderId="2" xfId="0" applyBorder="1" applyAlignment="1">
      <alignment vertical="center" wrapText="1"/>
    </xf>
    <xf numFmtId="0" fontId="0" fillId="0" borderId="2" xfId="0" applyBorder="1" applyAlignment="1">
      <alignment horizontal="left" vertical="center" wrapText="1"/>
    </xf>
    <xf numFmtId="0" fontId="0" fillId="0" borderId="2" xfId="0" applyBorder="1" applyAlignment="1">
      <alignment wrapText="1"/>
    </xf>
    <xf numFmtId="0" fontId="0" fillId="0" borderId="2" xfId="0" applyBorder="1" applyAlignment="1">
      <alignment vertical="top" wrapText="1"/>
    </xf>
    <xf numFmtId="0" fontId="0" fillId="0" borderId="2" xfId="0" applyBorder="1" applyAlignment="1">
      <alignment horizontal="center" vertical="center"/>
    </xf>
    <xf numFmtId="0" fontId="1" fillId="0" borderId="1" xfId="1" applyAlignment="1">
      <alignment horizontal="left"/>
    </xf>
    <xf numFmtId="0" fontId="1" fillId="0" borderId="1" xfId="1" applyAlignment="1">
      <alignment horizontal="left" wrapText="1"/>
    </xf>
    <xf numFmtId="0" fontId="3" fillId="2" borderId="2" xfId="0" applyFont="1" applyFill="1" applyBorder="1"/>
    <xf numFmtId="0" fontId="4" fillId="0" borderId="0" xfId="0" applyFont="1"/>
    <xf numFmtId="0" fontId="4" fillId="0" borderId="2" xfId="0" applyFont="1" applyBorder="1" applyAlignment="1">
      <alignment vertical="center"/>
    </xf>
    <xf numFmtId="0" fontId="4" fillId="0" borderId="2" xfId="0" applyFont="1" applyBorder="1" applyAlignment="1">
      <alignment horizontal="left" vertical="top" wrapText="1"/>
    </xf>
    <xf numFmtId="0" fontId="4" fillId="0" borderId="2" xfId="0" applyFont="1" applyBorder="1"/>
    <xf numFmtId="0" fontId="4" fillId="0" borderId="2" xfId="0" applyFont="1" applyBorder="1" applyAlignment="1">
      <alignment horizontal="left"/>
    </xf>
    <xf numFmtId="0" fontId="4" fillId="0" borderId="2" xfId="0" applyFont="1" applyBorder="1" applyAlignment="1">
      <alignment horizontal="left" wrapText="1"/>
    </xf>
    <xf numFmtId="0" fontId="4" fillId="0" borderId="2" xfId="0" applyFont="1" applyBorder="1" applyAlignment="1">
      <alignment vertical="center" wrapText="1"/>
    </xf>
    <xf numFmtId="0" fontId="4" fillId="0" borderId="2" xfId="0" applyFont="1" applyBorder="1" applyAlignment="1">
      <alignment horizontal="left" vertical="center" wrapText="1"/>
    </xf>
    <xf numFmtId="0" fontId="4" fillId="0" borderId="2" xfId="0" applyFont="1" applyBorder="1" applyAlignment="1">
      <alignment wrapText="1"/>
    </xf>
    <xf numFmtId="0" fontId="4" fillId="0" borderId="2" xfId="0" applyFont="1" applyBorder="1" applyAlignment="1">
      <alignment vertical="top" wrapText="1"/>
    </xf>
    <xf numFmtId="0" fontId="4" fillId="0" borderId="0" xfId="0" applyFont="1" applyAlignment="1">
      <alignment horizontal="center" vertical="center"/>
    </xf>
    <xf numFmtId="0" fontId="4" fillId="0" borderId="0" xfId="0" applyFont="1" applyAlignment="1">
      <alignment wrapText="1"/>
    </xf>
    <xf numFmtId="0" fontId="4" fillId="0" borderId="0" xfId="0" applyFont="1" applyAlignment="1">
      <alignment horizontal="left"/>
    </xf>
    <xf numFmtId="0" fontId="3" fillId="2" borderId="0" xfId="0" applyFont="1" applyFill="1" applyAlignment="1">
      <alignment horizontal="center" vertical="center"/>
    </xf>
    <xf numFmtId="0" fontId="3" fillId="2" borderId="0" xfId="0" applyFont="1" applyFill="1"/>
    <xf numFmtId="0" fontId="3" fillId="2" borderId="0" xfId="0" applyFont="1" applyFill="1" applyAlignment="1">
      <alignment wrapText="1"/>
    </xf>
    <xf numFmtId="0" fontId="4" fillId="0" borderId="2" xfId="0" applyFont="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wrapText="1"/>
    </xf>
    <xf numFmtId="0" fontId="4" fillId="2" borderId="2" xfId="0" applyFont="1" applyFill="1" applyBorder="1"/>
    <xf numFmtId="0" fontId="4" fillId="0" borderId="2" xfId="0" applyFont="1" applyBorder="1" applyAlignment="1">
      <alignment horizontal="left" vertical="center"/>
    </xf>
    <xf numFmtId="0" fontId="4" fillId="3" borderId="2" xfId="0" applyFont="1" applyFill="1" applyBorder="1" applyAlignment="1">
      <alignment horizontal="left" vertical="center" wrapText="1"/>
    </xf>
    <xf numFmtId="0" fontId="0" fillId="0" borderId="2" xfId="0" applyBorder="1" applyAlignment="1">
      <alignment horizontal="left" vertical="center"/>
    </xf>
    <xf numFmtId="0" fontId="5" fillId="0" borderId="2" xfId="0" applyFont="1" applyBorder="1" applyAlignment="1">
      <alignment horizontal="left" vertical="center" wrapText="1"/>
    </xf>
    <xf numFmtId="0" fontId="4" fillId="0" borderId="0" xfId="0" applyFont="1" applyAlignment="1">
      <alignment vertical="center" wrapText="1"/>
    </xf>
    <xf numFmtId="0" fontId="0" fillId="0" borderId="0" xfId="0" applyAlignment="1">
      <alignment horizontal="left" vertical="center"/>
    </xf>
    <xf numFmtId="0" fontId="4" fillId="0" borderId="0" xfId="0" applyFont="1" applyAlignment="1">
      <alignment horizontal="left" vertical="center"/>
    </xf>
    <xf numFmtId="0" fontId="3" fillId="2" borderId="0" xfId="0" applyFont="1" applyFill="1" applyAlignment="1">
      <alignment horizontal="left" vertical="center"/>
    </xf>
    <xf numFmtId="0" fontId="4" fillId="2" borderId="2" xfId="0" applyFont="1" applyFill="1" applyBorder="1" applyAlignment="1">
      <alignment horizontal="left" vertical="center"/>
    </xf>
    <xf numFmtId="0" fontId="4" fillId="0" borderId="0" xfId="0" applyFont="1" applyAlignment="1">
      <alignment horizontal="left" vertical="center" wrapText="1"/>
    </xf>
    <xf numFmtId="0" fontId="4" fillId="0" borderId="6" xfId="0" applyFont="1" applyBorder="1" applyAlignment="1">
      <alignment horizontal="left" vertical="center" wrapText="1"/>
    </xf>
    <xf numFmtId="0" fontId="4" fillId="0" borderId="0" xfId="0" applyFont="1" applyAlignment="1">
      <alignment horizontal="center" vertical="center" wrapText="1"/>
    </xf>
    <xf numFmtId="0" fontId="1" fillId="0" borderId="1" xfId="1" applyAlignment="1">
      <alignment horizontal="left" vertical="center"/>
    </xf>
    <xf numFmtId="0" fontId="4" fillId="0" borderId="2" xfId="0" applyFont="1" applyBorder="1" applyAlignment="1">
      <alignment horizontal="center" vertical="center" wrapText="1"/>
    </xf>
    <xf numFmtId="0" fontId="1" fillId="0" borderId="0" xfId="1" applyBorder="1" applyAlignment="1">
      <alignment horizontal="left"/>
    </xf>
    <xf numFmtId="0" fontId="1" fillId="0" borderId="0" xfId="1" applyBorder="1" applyAlignment="1">
      <alignment horizontal="left" wrapText="1"/>
    </xf>
    <xf numFmtId="0" fontId="7" fillId="0" borderId="8" xfId="0" applyFont="1" applyBorder="1" applyAlignment="1">
      <alignment horizontal="center" vertical="center" wrapText="1"/>
    </xf>
    <xf numFmtId="0" fontId="7" fillId="4" borderId="2" xfId="0" applyFont="1" applyFill="1" applyBorder="1" applyAlignment="1">
      <alignment horizontal="left" vertical="center" wrapText="1"/>
    </xf>
    <xf numFmtId="0" fontId="9" fillId="5"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4" fillId="8" borderId="2" xfId="0" applyFont="1" applyFill="1" applyBorder="1" applyAlignment="1">
      <alignment horizontal="left" vertical="center" wrapText="1"/>
    </xf>
    <xf numFmtId="0" fontId="4" fillId="9" borderId="2" xfId="0" applyFont="1" applyFill="1" applyBorder="1" applyAlignment="1">
      <alignment horizontal="left" vertical="center" wrapText="1"/>
    </xf>
    <xf numFmtId="0" fontId="10" fillId="5"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10" fillId="5" borderId="11" xfId="0" applyFont="1" applyFill="1" applyBorder="1" applyAlignment="1">
      <alignment horizontal="center" vertical="center" wrapText="1"/>
    </xf>
    <xf numFmtId="0" fontId="9" fillId="6" borderId="10" xfId="0" applyFont="1" applyFill="1" applyBorder="1" applyAlignment="1">
      <alignment horizontal="center" vertical="center" wrapText="1"/>
    </xf>
    <xf numFmtId="0" fontId="9" fillId="7" borderId="8" xfId="0" applyFont="1" applyFill="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8" borderId="14" xfId="0" applyFont="1" applyFill="1" applyBorder="1" applyAlignment="1">
      <alignment horizontal="left" vertical="center" wrapText="1"/>
    </xf>
    <xf numFmtId="0" fontId="4" fillId="9" borderId="15" xfId="0" applyFont="1" applyFill="1" applyBorder="1" applyAlignment="1">
      <alignment horizontal="left" vertical="center" wrapText="1"/>
    </xf>
    <xf numFmtId="0" fontId="6" fillId="4" borderId="2" xfId="0" applyFont="1" applyFill="1" applyBorder="1"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2" fontId="10" fillId="5" borderId="2" xfId="0" applyNumberFormat="1" applyFont="1" applyFill="1" applyBorder="1" applyAlignment="1">
      <alignment horizontal="center" vertical="center" wrapText="1"/>
    </xf>
    <xf numFmtId="0" fontId="6" fillId="0" borderId="8" xfId="0" applyFont="1" applyBorder="1" applyAlignment="1">
      <alignment horizontal="center" vertical="center" wrapText="1"/>
    </xf>
    <xf numFmtId="0" fontId="8" fillId="11"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4" fillId="0" borderId="0" xfId="0" applyFont="1" applyAlignment="1">
      <alignment vertical="center"/>
    </xf>
    <xf numFmtId="49" fontId="4" fillId="0" borderId="2" xfId="0" applyNumberFormat="1" applyFont="1" applyBorder="1" applyAlignment="1">
      <alignment horizontal="center" vertical="center" wrapText="1"/>
    </xf>
    <xf numFmtId="15" fontId="4" fillId="0" borderId="2" xfId="0" applyNumberFormat="1" applyFont="1" applyBorder="1" applyAlignment="1">
      <alignment horizontal="center" vertical="center" wrapText="1"/>
    </xf>
    <xf numFmtId="0" fontId="7" fillId="5" borderId="2" xfId="0" applyFont="1" applyFill="1" applyBorder="1" applyAlignment="1">
      <alignment horizontal="center" vertical="center" wrapText="1"/>
    </xf>
    <xf numFmtId="0" fontId="8" fillId="11" borderId="2" xfId="0" applyFont="1" applyFill="1" applyBorder="1" applyAlignment="1">
      <alignment horizontal="center" vertical="center"/>
    </xf>
    <xf numFmtId="0" fontId="8" fillId="11" borderId="2" xfId="0" applyFont="1" applyFill="1" applyBorder="1" applyAlignment="1">
      <alignment horizontal="right" vertical="center"/>
    </xf>
    <xf numFmtId="0" fontId="8" fillId="11" borderId="9" xfId="0" applyFont="1" applyFill="1" applyBorder="1" applyAlignment="1">
      <alignment horizontal="center" vertical="center" wrapText="1"/>
    </xf>
    <xf numFmtId="0" fontId="12" fillId="0" borderId="0" xfId="0" applyFont="1"/>
    <xf numFmtId="0" fontId="13" fillId="0" borderId="0" xfId="1" applyFont="1" applyBorder="1" applyAlignment="1">
      <alignment horizontal="left" vertical="center"/>
    </xf>
    <xf numFmtId="0" fontId="3" fillId="11" borderId="6" xfId="0" applyFont="1" applyFill="1" applyBorder="1" applyAlignment="1">
      <alignment horizontal="center" vertical="center"/>
    </xf>
    <xf numFmtId="0" fontId="3" fillId="11" borderId="6" xfId="0" applyFont="1" applyFill="1" applyBorder="1"/>
    <xf numFmtId="0" fontId="3" fillId="11" borderId="6" xfId="0" applyFont="1" applyFill="1" applyBorder="1" applyAlignment="1">
      <alignment wrapText="1"/>
    </xf>
    <xf numFmtId="0" fontId="3" fillId="11" borderId="6" xfId="0" applyFont="1" applyFill="1" applyBorder="1" applyAlignment="1">
      <alignment horizontal="left"/>
    </xf>
    <xf numFmtId="0" fontId="3" fillId="11" borderId="0" xfId="0" applyFont="1" applyFill="1" applyAlignment="1">
      <alignment horizontal="center" vertical="center"/>
    </xf>
    <xf numFmtId="0" fontId="4" fillId="11" borderId="2" xfId="0" applyFont="1" applyFill="1" applyBorder="1" applyAlignment="1">
      <alignment horizontal="center" vertical="center"/>
    </xf>
    <xf numFmtId="0" fontId="3" fillId="11" borderId="2" xfId="0" applyFont="1" applyFill="1" applyBorder="1"/>
    <xf numFmtId="0" fontId="4" fillId="11" borderId="2" xfId="0" applyFont="1" applyFill="1" applyBorder="1" applyAlignment="1">
      <alignment wrapText="1"/>
    </xf>
    <xf numFmtId="0" fontId="4" fillId="11" borderId="2" xfId="0" applyFont="1" applyFill="1" applyBorder="1" applyAlignment="1">
      <alignment horizontal="left"/>
    </xf>
    <xf numFmtId="0" fontId="4" fillId="11" borderId="2" xfId="0" applyFont="1" applyFill="1" applyBorder="1"/>
    <xf numFmtId="0" fontId="3" fillId="11" borderId="0" xfId="0" applyFont="1" applyFill="1"/>
    <xf numFmtId="0" fontId="3" fillId="11" borderId="0" xfId="0" applyFont="1" applyFill="1" applyAlignment="1">
      <alignment wrapText="1"/>
    </xf>
    <xf numFmtId="0" fontId="3" fillId="11" borderId="0" xfId="0" applyFont="1" applyFill="1" applyAlignment="1">
      <alignment horizontal="left"/>
    </xf>
    <xf numFmtId="0" fontId="3" fillId="11" borderId="6" xfId="0" applyFont="1" applyFill="1" applyBorder="1" applyAlignment="1">
      <alignment horizontal="left" vertical="center"/>
    </xf>
    <xf numFmtId="0" fontId="1" fillId="0" borderId="0" xfId="1" applyBorder="1" applyAlignment="1">
      <alignment horizontal="left" vertical="center"/>
    </xf>
    <xf numFmtId="0" fontId="3" fillId="11" borderId="0" xfId="0" applyFont="1" applyFill="1" applyAlignment="1">
      <alignment horizontal="left" vertical="center"/>
    </xf>
    <xf numFmtId="0" fontId="4" fillId="11" borderId="2" xfId="0" applyFont="1" applyFill="1" applyBorder="1" applyAlignment="1">
      <alignment horizontal="left" vertical="center"/>
    </xf>
    <xf numFmtId="0" fontId="2" fillId="11" borderId="2" xfId="0" applyFont="1" applyFill="1" applyBorder="1" applyAlignment="1">
      <alignment horizontal="center" vertical="center"/>
    </xf>
    <xf numFmtId="0" fontId="2" fillId="11" borderId="2" xfId="0" applyFont="1" applyFill="1" applyBorder="1" applyAlignment="1">
      <alignment vertical="center"/>
    </xf>
    <xf numFmtId="0" fontId="2" fillId="11" borderId="2" xfId="0" applyFont="1" applyFill="1" applyBorder="1" applyAlignment="1">
      <alignment horizontal="left" vertical="center" wrapText="1"/>
    </xf>
    <xf numFmtId="0" fontId="2" fillId="11" borderId="2" xfId="0" applyFont="1" applyFill="1" applyBorder="1" applyAlignment="1">
      <alignment vertical="center" wrapText="1"/>
    </xf>
    <xf numFmtId="0" fontId="2" fillId="11" borderId="2" xfId="0" applyFont="1" applyFill="1" applyBorder="1" applyAlignment="1">
      <alignment horizontal="left" vertical="center"/>
    </xf>
    <xf numFmtId="0" fontId="2" fillId="11" borderId="2" xfId="0" applyFont="1" applyFill="1" applyBorder="1" applyAlignment="1">
      <alignment horizontal="left"/>
    </xf>
    <xf numFmtId="0" fontId="13" fillId="0" borderId="1" xfId="1" applyFont="1" applyAlignment="1">
      <alignment horizontal="left" vertical="center"/>
    </xf>
    <xf numFmtId="0" fontId="2" fillId="11" borderId="0" xfId="0" applyFont="1" applyFill="1" applyAlignment="1">
      <alignment horizontal="center" vertical="center"/>
    </xf>
    <xf numFmtId="0" fontId="2" fillId="11" borderId="0" xfId="0" applyFont="1" applyFill="1"/>
    <xf numFmtId="0" fontId="2" fillId="11" borderId="0" xfId="0" applyFont="1" applyFill="1" applyAlignment="1">
      <alignment horizontal="left" wrapText="1"/>
    </xf>
    <xf numFmtId="0" fontId="2" fillId="11" borderId="0" xfId="0" applyFont="1" applyFill="1" applyAlignment="1">
      <alignment wrapText="1"/>
    </xf>
    <xf numFmtId="0" fontId="2" fillId="11" borderId="0" xfId="0" applyFont="1" applyFill="1" applyAlignment="1">
      <alignment horizontal="left"/>
    </xf>
    <xf numFmtId="0" fontId="0" fillId="11" borderId="0" xfId="0" applyFill="1" applyAlignment="1">
      <alignment horizontal="center" vertical="center"/>
    </xf>
    <xf numFmtId="0" fontId="0" fillId="11" borderId="0" xfId="0" applyFill="1" applyAlignment="1">
      <alignment horizontal="left" wrapText="1"/>
    </xf>
    <xf numFmtId="0" fontId="0" fillId="11" borderId="0" xfId="0" applyFill="1" applyAlignment="1">
      <alignment wrapText="1"/>
    </xf>
    <xf numFmtId="0" fontId="0" fillId="11" borderId="0" xfId="0" applyFill="1" applyAlignment="1">
      <alignment horizontal="left"/>
    </xf>
    <xf numFmtId="0" fontId="2" fillId="11" borderId="0" xfId="0" applyFont="1" applyFill="1" applyAlignment="1">
      <alignment horizontal="left" vertical="center"/>
    </xf>
    <xf numFmtId="0" fontId="0" fillId="11" borderId="0" xfId="0" applyFill="1"/>
    <xf numFmtId="0" fontId="0" fillId="11" borderId="0" xfId="0" applyFill="1" applyAlignment="1">
      <alignment horizontal="left" vertical="center"/>
    </xf>
    <xf numFmtId="0" fontId="2" fillId="11" borderId="2" xfId="0" applyFont="1" applyFill="1" applyBorder="1"/>
    <xf numFmtId="0" fontId="2" fillId="11" borderId="2" xfId="0" applyFont="1" applyFill="1" applyBorder="1" applyAlignment="1">
      <alignment horizontal="left" wrapText="1"/>
    </xf>
    <xf numFmtId="0" fontId="2" fillId="11" borderId="2" xfId="0" applyFont="1" applyFill="1" applyBorder="1" applyAlignment="1">
      <alignment wrapText="1"/>
    </xf>
    <xf numFmtId="0" fontId="14" fillId="0" borderId="1" xfId="1" applyFont="1" applyAlignment="1">
      <alignment horizontal="left" vertical="center"/>
    </xf>
    <xf numFmtId="0" fontId="15" fillId="0" borderId="0" xfId="0" applyFont="1"/>
    <xf numFmtId="0" fontId="4" fillId="0" borderId="16" xfId="0" applyFont="1" applyBorder="1" applyAlignment="1">
      <alignment horizontal="left" vertical="center" wrapText="1"/>
    </xf>
    <xf numFmtId="0" fontId="4" fillId="0" borderId="17" xfId="0" applyFont="1" applyBorder="1" applyAlignment="1">
      <alignment horizontal="left" vertical="center" wrapText="1"/>
    </xf>
    <xf numFmtId="0" fontId="4" fillId="0" borderId="9" xfId="0" applyFont="1" applyBorder="1" applyAlignment="1">
      <alignment horizontal="left" vertical="center" wrapText="1"/>
    </xf>
    <xf numFmtId="0" fontId="8" fillId="11" borderId="11"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7" fillId="4" borderId="16" xfId="0" applyFont="1" applyFill="1" applyBorder="1" applyAlignment="1">
      <alignment horizontal="center" vertical="center" wrapText="1"/>
    </xf>
    <xf numFmtId="0" fontId="7" fillId="4" borderId="17"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8" fillId="11" borderId="16" xfId="0" applyFont="1" applyFill="1" applyBorder="1" applyAlignment="1">
      <alignment horizontal="left" vertical="center" wrapText="1"/>
    </xf>
    <xf numFmtId="0" fontId="8" fillId="11" borderId="17" xfId="0" applyFont="1" applyFill="1" applyBorder="1" applyAlignment="1">
      <alignment horizontal="left" vertical="center" wrapText="1"/>
    </xf>
    <xf numFmtId="0" fontId="8" fillId="11" borderId="9" xfId="0" applyFont="1" applyFill="1" applyBorder="1" applyAlignment="1">
      <alignment horizontal="left" vertical="center" wrapText="1"/>
    </xf>
    <xf numFmtId="0" fontId="8" fillId="11" borderId="2" xfId="0" applyFont="1" applyFill="1" applyBorder="1" applyAlignment="1">
      <alignment horizontal="center" vertical="center" wrapText="1"/>
    </xf>
    <xf numFmtId="0" fontId="8" fillId="11" borderId="16" xfId="0" applyFont="1" applyFill="1" applyBorder="1" applyAlignment="1">
      <alignment horizontal="center" vertical="center" wrapText="1"/>
    </xf>
    <xf numFmtId="0" fontId="8" fillId="11" borderId="17"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4" fillId="0" borderId="16" xfId="0" applyFont="1" applyBorder="1" applyAlignment="1">
      <alignment horizontal="center" vertical="center" wrapText="1"/>
    </xf>
    <xf numFmtId="0" fontId="4" fillId="0" borderId="9" xfId="0" applyFont="1" applyBorder="1" applyAlignment="1">
      <alignment horizontal="center" vertical="center" wrapText="1"/>
    </xf>
    <xf numFmtId="0" fontId="8" fillId="10" borderId="9"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11" fillId="0" borderId="3" xfId="0" applyFont="1" applyBorder="1" applyAlignment="1">
      <alignment horizontal="center" vertical="center" wrapText="1"/>
    </xf>
    <xf numFmtId="0" fontId="11" fillId="0" borderId="7" xfId="0" applyFont="1" applyBorder="1" applyAlignment="1">
      <alignment horizontal="center" vertical="center" wrapText="1"/>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3" fillId="11" borderId="3" xfId="0" applyFont="1" applyFill="1" applyBorder="1" applyAlignment="1">
      <alignment horizontal="center"/>
    </xf>
    <xf numFmtId="0" fontId="4" fillId="0" borderId="2" xfId="0" applyFont="1" applyBorder="1" applyAlignment="1">
      <alignment horizontal="justify" vertical="center" wrapText="1"/>
    </xf>
    <xf numFmtId="0" fontId="3" fillId="11" borderId="2" xfId="0" applyFont="1" applyFill="1" applyBorder="1" applyAlignment="1">
      <alignment horizontal="center"/>
    </xf>
    <xf numFmtId="0" fontId="4" fillId="0" borderId="2" xfId="0" applyFont="1" applyBorder="1" applyAlignment="1">
      <alignment horizontal="left"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4" xfId="0" applyFont="1" applyBorder="1" applyAlignment="1">
      <alignment horizontal="left" vertical="center" wrapText="1"/>
    </xf>
    <xf numFmtId="0" fontId="4" fillId="0" borderId="6" xfId="0" applyFont="1" applyBorder="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0" borderId="2" xfId="0" applyFont="1" applyBorder="1" applyAlignment="1">
      <alignment horizontal="left" vertical="center"/>
    </xf>
    <xf numFmtId="0" fontId="4" fillId="0" borderId="4" xfId="0" applyFont="1" applyBorder="1" applyAlignment="1">
      <alignment horizontal="left" wrapText="1"/>
    </xf>
    <xf numFmtId="0" fontId="4" fillId="0" borderId="5" xfId="0" applyFont="1" applyBorder="1" applyAlignment="1">
      <alignment horizontal="left" wrapText="1"/>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2" fillId="11" borderId="3" xfId="0" applyFont="1" applyFill="1" applyBorder="1" applyAlignment="1">
      <alignment horizontal="center"/>
    </xf>
    <xf numFmtId="0" fontId="0" fillId="0" borderId="2" xfId="0" applyBorder="1" applyAlignment="1">
      <alignment horizontal="justify" vertical="center" wrapText="1"/>
    </xf>
    <xf numFmtId="0" fontId="0" fillId="0" borderId="2" xfId="0" applyBorder="1" applyAlignment="1">
      <alignment horizontal="left" vertical="center" wrapText="1"/>
    </xf>
    <xf numFmtId="0" fontId="0" fillId="0" borderId="2" xfId="0" applyBorder="1" applyAlignment="1">
      <alignment horizontal="justify"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left"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cellXfs>
  <cellStyles count="2">
    <cellStyle name="Encabezado 1" xfId="1" builtinId="16"/>
    <cellStyle name="Normal" xfId="0" builtinId="0"/>
  </cellStyles>
  <dxfs count="809">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4" tint="0.79998168889431442"/>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ill>
        <patternFill>
          <bgColor theme="5"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006BC2"/>
      <color rgb="FF0072C6"/>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ni\Downloads\Cronograma%20EBR%20xls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BLINDA\Documents\Programa%20Anual%20de%20Cumplimiento_Ejempl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cripción"/>
      <sheetName val="Cronograma"/>
      <sheetName val="GANTT"/>
      <sheetName val="Parámetros"/>
      <sheetName val="Definiciones"/>
      <sheetName val="Ejemplo"/>
      <sheetName val="Cronograma EBR xlsx"/>
    </sheetNames>
    <sheetDataSet>
      <sheetData sheetId="0"/>
      <sheetData sheetId="1"/>
      <sheetData sheetId="2">
        <row r="4">
          <cell r="D4" t="str">
            <v>Fecha de inicio</v>
          </cell>
        </row>
      </sheetData>
      <sheetData sheetId="3">
        <row r="10">
          <cell r="C10" t="str">
            <v>CRONOGRAMA INTERMEX</v>
          </cell>
        </row>
        <row r="11">
          <cell r="C11" t="str">
            <v>Comité de Comunicación y Control</v>
          </cell>
        </row>
        <row r="12">
          <cell r="C12" t="str">
            <v>Oficial de Cumplimiento</v>
          </cell>
        </row>
        <row r="14">
          <cell r="C14">
            <v>43166</v>
          </cell>
        </row>
      </sheetData>
      <sheetData sheetId="4">
        <row r="8">
          <cell r="F8" t="str">
            <v>Ene</v>
          </cell>
        </row>
        <row r="9">
          <cell r="F9" t="str">
            <v>Feb</v>
          </cell>
        </row>
        <row r="10">
          <cell r="F10" t="str">
            <v>Mar</v>
          </cell>
        </row>
        <row r="11">
          <cell r="F11" t="str">
            <v>Abr</v>
          </cell>
        </row>
        <row r="12">
          <cell r="F12" t="str">
            <v>May</v>
          </cell>
        </row>
        <row r="13">
          <cell r="F13" t="str">
            <v>Jun</v>
          </cell>
        </row>
        <row r="14">
          <cell r="F14" t="str">
            <v>Jul</v>
          </cell>
        </row>
        <row r="15">
          <cell r="F15" t="str">
            <v>Ago</v>
          </cell>
        </row>
        <row r="16">
          <cell r="F16" t="str">
            <v>Sep</v>
          </cell>
        </row>
        <row r="17">
          <cell r="F17" t="str">
            <v>Oct</v>
          </cell>
        </row>
        <row r="18">
          <cell r="F18" t="str">
            <v>Nov</v>
          </cell>
        </row>
        <row r="19">
          <cell r="F19" t="str">
            <v>Dic</v>
          </cell>
        </row>
      </sheetData>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a"/>
      <sheetName val="Bitácora (2)"/>
      <sheetName val="Hoja2"/>
      <sheetName val="Ponderaciones"/>
      <sheetName val="Bitácora General"/>
      <sheetName val="1 Manual de Cumplimiento"/>
      <sheetName val="2 Gobierno Corporativo"/>
      <sheetName val="3 Control interno"/>
      <sheetName val="3.10"/>
      <sheetName val="3.11 - 3.12"/>
      <sheetName val="4. Administración de riesgos"/>
      <sheetName val="5. Estructuras internas"/>
      <sheetName val="6. Sistemas automatizados"/>
      <sheetName val="7. Auditoría"/>
      <sheetName val="8. Capacitación y difusión"/>
      <sheetName val="Enero Actas CCC"/>
      <sheetName val="Febrero Actas CCC"/>
      <sheetName val="Marzo Actas CCC"/>
      <sheetName val="Abril Actas CCC"/>
      <sheetName val="Mayo Actas CCC"/>
      <sheetName val="Junio Actas CCC"/>
      <sheetName val="Julio Actas CCC"/>
      <sheetName val="Agosto Actas CCC"/>
      <sheetName val="Sept Actas CCC"/>
      <sheetName val="Oct Actas CCC"/>
      <sheetName val="Nov Actas CCC"/>
      <sheetName val="Dic Actas CCC"/>
    </sheetNames>
    <sheetDataSet>
      <sheetData sheetId="0"/>
      <sheetData sheetId="1"/>
      <sheetData sheetId="2"/>
      <sheetData sheetId="3"/>
      <sheetData sheetId="4"/>
      <sheetData sheetId="5">
        <row r="4">
          <cell r="B4" t="str">
            <v>ENTIDAD</v>
          </cell>
        </row>
      </sheetData>
      <sheetData sheetId="6"/>
      <sheetData sheetId="7"/>
      <sheetData sheetId="8"/>
      <sheetData sheetId="9"/>
      <sheetData sheetId="10"/>
      <sheetData sheetId="11">
        <row r="51">
          <cell r="C51" t="str">
            <v>4.3.1</v>
          </cell>
          <cell r="D51" t="str">
            <v>21a</v>
          </cell>
          <cell r="E51" t="str">
            <v>Para determinar el Grado de Riesgo en el que deban ubicarse los Clientes, así como si deben considerarse Personas Políticamente Expuestas, tomen en cuenta, entre otros aspectos, los antecedentes del Cliente, su profesión, actividad o giro del negocio, el origen y destino de sus recursos, el lugar de su residencia, la metodología a que se refiere el Capítulo II Bis de las Disposiciones y las demás circunstancias que determine la propia Entidad.</v>
          </cell>
          <cell r="F51" t="str">
            <v>Seleccionar</v>
          </cell>
          <cell r="G51" t="str">
            <v>Seleccionar</v>
          </cell>
          <cell r="H51" t="str">
            <v>Seleccionar</v>
          </cell>
          <cell r="I51" t="str">
            <v>Seleccionar</v>
          </cell>
          <cell r="J51" t="str">
            <v>Seleccionar</v>
          </cell>
          <cell r="K51" t="str">
            <v>Seleccionar</v>
          </cell>
          <cell r="L51" t="str">
            <v>Seleccionar</v>
          </cell>
          <cell r="M51" t="str">
            <v>Seleccionar</v>
          </cell>
          <cell r="N51" t="str">
            <v>Seleccionar</v>
          </cell>
          <cell r="O51" t="str">
            <v>Seleccionar</v>
          </cell>
          <cell r="P51" t="str">
            <v>Seleccionar</v>
          </cell>
          <cell r="Q51" t="str">
            <v>Seleccionar</v>
          </cell>
          <cell r="R51" t="str">
            <v>Seleccionar</v>
          </cell>
          <cell r="S51" t="str">
            <v>Seleccionar</v>
          </cell>
          <cell r="T51" t="str">
            <v>Seleccionar</v>
          </cell>
          <cell r="U51" t="str">
            <v>Seleccionar</v>
          </cell>
          <cell r="V51" t="str">
            <v>Seleccionar</v>
          </cell>
          <cell r="W51" t="str">
            <v>Seleccionar</v>
          </cell>
          <cell r="X51" t="str">
            <v>Seleccionar</v>
          </cell>
          <cell r="Y51" t="str">
            <v>Seleccionar</v>
          </cell>
          <cell r="Z51" t="str">
            <v>Seleccionar</v>
          </cell>
          <cell r="AA51" t="str">
            <v>Seleccionar</v>
          </cell>
          <cell r="AB51" t="str">
            <v>Seleccionar</v>
          </cell>
          <cell r="AC51" t="str">
            <v>Seleccionar</v>
          </cell>
        </row>
        <row r="52">
          <cell r="C52" t="str">
            <v>4.3.2</v>
          </cell>
          <cell r="D52" t="str">
            <v>24a</v>
          </cell>
          <cell r="E52" t="str">
            <v>Considerar al menos a los PEPs extranjeros con grado de riesgo alto.</v>
          </cell>
          <cell r="F52" t="str">
            <v>Seleccionar</v>
          </cell>
          <cell r="G52" t="str">
            <v>Seleccionar</v>
          </cell>
          <cell r="H52" t="str">
            <v>Seleccionar</v>
          </cell>
          <cell r="I52" t="str">
            <v>Seleccionar</v>
          </cell>
          <cell r="J52" t="str">
            <v>Seleccionar</v>
          </cell>
          <cell r="K52" t="str">
            <v>Seleccionar</v>
          </cell>
          <cell r="L52" t="str">
            <v>Seleccionar</v>
          </cell>
          <cell r="M52" t="str">
            <v>Seleccionar</v>
          </cell>
          <cell r="N52" t="str">
            <v>Seleccionar</v>
          </cell>
          <cell r="O52" t="str">
            <v>Seleccionar</v>
          </cell>
          <cell r="P52" t="str">
            <v>Seleccionar</v>
          </cell>
          <cell r="Q52" t="str">
            <v>Seleccionar</v>
          </cell>
          <cell r="R52" t="str">
            <v>Seleccionar</v>
          </cell>
          <cell r="S52" t="str">
            <v>Seleccionar</v>
          </cell>
          <cell r="T52" t="str">
            <v>Seleccionar</v>
          </cell>
          <cell r="U52" t="str">
            <v>Seleccionar</v>
          </cell>
          <cell r="V52" t="str">
            <v>Seleccionar</v>
          </cell>
          <cell r="W52" t="str">
            <v>Seleccionar</v>
          </cell>
          <cell r="X52" t="str">
            <v>Seleccionar</v>
          </cell>
          <cell r="Y52" t="str">
            <v>Seleccionar</v>
          </cell>
          <cell r="Z52" t="str">
            <v>Seleccionar</v>
          </cell>
          <cell r="AA52" t="str">
            <v>Seleccionar</v>
          </cell>
          <cell r="AB52" t="str">
            <v>Seleccionar</v>
          </cell>
          <cell r="AC52" t="str">
            <v>Seleccionar</v>
          </cell>
        </row>
        <row r="53">
          <cell r="C53" t="str">
            <v>4.3.3</v>
          </cell>
          <cell r="D53" t="str">
            <v>24a</v>
          </cell>
          <cell r="E53" t="str">
            <v>Cuenta con mecanismos para clasificar a los Clientes PEPs nacionales.</v>
          </cell>
          <cell r="F53" t="str">
            <v>Seleccionar</v>
          </cell>
          <cell r="G53" t="str">
            <v>Seleccionar</v>
          </cell>
          <cell r="H53" t="str">
            <v>Seleccionar</v>
          </cell>
          <cell r="I53" t="str">
            <v>Seleccionar</v>
          </cell>
          <cell r="J53" t="str">
            <v>Seleccionar</v>
          </cell>
          <cell r="K53" t="str">
            <v>Seleccionar</v>
          </cell>
          <cell r="L53" t="str">
            <v>Seleccionar</v>
          </cell>
          <cell r="M53" t="str">
            <v>Seleccionar</v>
          </cell>
          <cell r="N53" t="str">
            <v>Seleccionar</v>
          </cell>
          <cell r="O53" t="str">
            <v>Seleccionar</v>
          </cell>
          <cell r="P53" t="str">
            <v>Seleccionar</v>
          </cell>
          <cell r="Q53" t="str">
            <v>Seleccionar</v>
          </cell>
          <cell r="R53" t="str">
            <v>Seleccionar</v>
          </cell>
          <cell r="S53" t="str">
            <v>Seleccionar</v>
          </cell>
          <cell r="T53" t="str">
            <v>Seleccionar</v>
          </cell>
          <cell r="U53" t="str">
            <v>Seleccionar</v>
          </cell>
          <cell r="V53" t="str">
            <v>Seleccionar</v>
          </cell>
          <cell r="W53" t="str">
            <v>Seleccionar</v>
          </cell>
          <cell r="X53" t="str">
            <v>Seleccionar</v>
          </cell>
          <cell r="Y53" t="str">
            <v>Seleccionar</v>
          </cell>
          <cell r="Z53" t="str">
            <v>Seleccionar</v>
          </cell>
          <cell r="AA53" t="str">
            <v>Seleccionar</v>
          </cell>
          <cell r="AB53" t="str">
            <v>Seleccionar</v>
          </cell>
          <cell r="AC53" t="str">
            <v>Seleccionar</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8"/>
  <sheetViews>
    <sheetView showGridLines="0" tabSelected="1" zoomScale="70" zoomScaleNormal="70" zoomScaleSheetLayoutView="117" workbookViewId="0">
      <pane xSplit="2" ySplit="3" topLeftCell="C4" activePane="bottomRight" state="frozen"/>
      <selection pane="topRight" activeCell="C1" sqref="C1"/>
      <selection pane="bottomLeft" activeCell="A4" sqref="A4"/>
      <selection pane="bottomRight" activeCell="H37" sqref="H37:M37"/>
    </sheetView>
  </sheetViews>
  <sheetFormatPr baseColWidth="10" defaultColWidth="10.7109375" defaultRowHeight="15" x14ac:dyDescent="0.25"/>
  <cols>
    <col min="1" max="1" width="7" style="2" customWidth="1"/>
    <col min="2" max="2" width="14.7109375" customWidth="1"/>
    <col min="3" max="3" width="12.7109375" style="1" customWidth="1"/>
    <col min="4" max="4" width="12.7109375" style="3" customWidth="1"/>
    <col min="5" max="5" width="17.7109375" customWidth="1"/>
    <col min="6" max="6" width="40.28515625" customWidth="1"/>
    <col min="7" max="8" width="37.28515625" style="3" customWidth="1"/>
    <col min="14" max="14" width="3.28515625" customWidth="1"/>
  </cols>
  <sheetData>
    <row r="1" spans="1:13" ht="26.25" x14ac:dyDescent="0.3">
      <c r="A1" s="83" t="s">
        <v>73</v>
      </c>
      <c r="B1" s="49"/>
      <c r="C1" s="50"/>
      <c r="D1" s="49"/>
      <c r="E1" s="49"/>
      <c r="F1" s="49"/>
      <c r="G1" s="49"/>
    </row>
    <row r="3" spans="1:13" x14ac:dyDescent="0.25">
      <c r="A3" s="84" t="s">
        <v>0</v>
      </c>
      <c r="B3" s="85" t="s">
        <v>1</v>
      </c>
      <c r="C3" s="86" t="s">
        <v>3</v>
      </c>
      <c r="D3" s="87" t="s">
        <v>11</v>
      </c>
      <c r="E3" s="85" t="s">
        <v>5</v>
      </c>
      <c r="F3" s="85" t="s">
        <v>7</v>
      </c>
      <c r="G3" s="87" t="s">
        <v>40</v>
      </c>
      <c r="H3" s="87" t="s">
        <v>74</v>
      </c>
      <c r="I3" s="15"/>
      <c r="J3" s="15"/>
      <c r="K3" s="15"/>
      <c r="L3" s="15"/>
      <c r="M3" s="15"/>
    </row>
    <row r="4" spans="1:13" ht="132" customHeight="1" x14ac:dyDescent="0.25">
      <c r="A4" s="146" t="s">
        <v>889</v>
      </c>
      <c r="B4" s="147" t="s">
        <v>2</v>
      </c>
      <c r="C4" s="147" t="s">
        <v>4</v>
      </c>
      <c r="D4" s="35" t="s">
        <v>12</v>
      </c>
      <c r="E4" s="16" t="s">
        <v>6</v>
      </c>
      <c r="F4" s="17" t="s">
        <v>870</v>
      </c>
      <c r="G4" s="148" t="s">
        <v>23</v>
      </c>
      <c r="H4" s="148"/>
      <c r="I4" s="15"/>
      <c r="J4" s="15"/>
      <c r="K4" s="15"/>
      <c r="L4" s="15"/>
      <c r="M4" s="15"/>
    </row>
    <row r="5" spans="1:13" ht="32.25" customHeight="1" x14ac:dyDescent="0.25">
      <c r="A5" s="146"/>
      <c r="B5" s="147"/>
      <c r="C5" s="147"/>
      <c r="D5" s="35" t="s">
        <v>12</v>
      </c>
      <c r="E5" s="18" t="s">
        <v>8</v>
      </c>
      <c r="F5" s="23" t="s">
        <v>9</v>
      </c>
      <c r="G5" s="148"/>
      <c r="H5" s="148"/>
      <c r="I5" s="15"/>
      <c r="J5" s="15"/>
      <c r="K5" s="15"/>
      <c r="L5" s="15"/>
      <c r="M5" s="15"/>
    </row>
    <row r="6" spans="1:13" x14ac:dyDescent="0.25">
      <c r="A6" s="146"/>
      <c r="B6" s="147"/>
      <c r="C6" s="148" t="s">
        <v>10</v>
      </c>
      <c r="D6" s="148" t="s">
        <v>13</v>
      </c>
      <c r="E6" s="18" t="s">
        <v>14</v>
      </c>
      <c r="F6" s="18" t="s">
        <v>16</v>
      </c>
      <c r="G6" s="148" t="s">
        <v>24</v>
      </c>
      <c r="H6" s="148"/>
      <c r="I6" s="15"/>
      <c r="J6" s="15"/>
      <c r="K6" s="15"/>
      <c r="L6" s="15"/>
      <c r="M6" s="15"/>
    </row>
    <row r="7" spans="1:13" ht="32.25" customHeight="1" x14ac:dyDescent="0.25">
      <c r="A7" s="146"/>
      <c r="B7" s="147"/>
      <c r="C7" s="148"/>
      <c r="D7" s="148"/>
      <c r="E7" s="18" t="s">
        <v>15</v>
      </c>
      <c r="F7" s="23" t="s">
        <v>17</v>
      </c>
      <c r="G7" s="148"/>
      <c r="H7" s="148"/>
      <c r="I7" s="15"/>
      <c r="J7" s="15"/>
      <c r="K7" s="15"/>
      <c r="L7" s="15"/>
      <c r="M7" s="15"/>
    </row>
    <row r="8" spans="1:13" ht="102.75" x14ac:dyDescent="0.25">
      <c r="A8" s="146"/>
      <c r="B8" s="147"/>
      <c r="C8" s="148"/>
      <c r="D8" s="20" t="s">
        <v>871</v>
      </c>
      <c r="E8" s="21" t="s">
        <v>18</v>
      </c>
      <c r="F8" s="21" t="s">
        <v>876</v>
      </c>
      <c r="G8" s="22" t="s">
        <v>154</v>
      </c>
      <c r="H8" s="20"/>
      <c r="I8" s="15"/>
      <c r="J8" s="15"/>
      <c r="K8" s="15"/>
      <c r="L8" s="15"/>
      <c r="M8" s="15"/>
    </row>
    <row r="9" spans="1:13" ht="51" x14ac:dyDescent="0.25">
      <c r="A9" s="146"/>
      <c r="B9" s="147"/>
      <c r="C9" s="148"/>
      <c r="D9" s="152" t="s">
        <v>19</v>
      </c>
      <c r="E9" s="16" t="s">
        <v>20</v>
      </c>
      <c r="F9" s="21" t="s">
        <v>155</v>
      </c>
      <c r="G9" s="148" t="s">
        <v>25</v>
      </c>
      <c r="H9" s="152"/>
      <c r="I9" s="15"/>
      <c r="J9" s="15"/>
      <c r="K9" s="15"/>
      <c r="L9" s="15"/>
      <c r="M9" s="15"/>
    </row>
    <row r="10" spans="1:13" x14ac:dyDescent="0.25">
      <c r="A10" s="146"/>
      <c r="B10" s="147"/>
      <c r="C10" s="148"/>
      <c r="D10" s="152"/>
      <c r="E10" s="18" t="s">
        <v>21</v>
      </c>
      <c r="F10" s="18" t="s">
        <v>22</v>
      </c>
      <c r="G10" s="148"/>
      <c r="H10" s="152"/>
      <c r="I10" s="15"/>
      <c r="J10" s="15"/>
      <c r="K10" s="15"/>
      <c r="L10" s="15"/>
      <c r="M10" s="15"/>
    </row>
    <row r="11" spans="1:13" ht="165.75" x14ac:dyDescent="0.25">
      <c r="A11" s="146"/>
      <c r="B11" s="147"/>
      <c r="C11" s="147" t="s">
        <v>26</v>
      </c>
      <c r="D11" s="22" t="s">
        <v>156</v>
      </c>
      <c r="E11" s="21" t="s">
        <v>158</v>
      </c>
      <c r="F11" s="22" t="s">
        <v>157</v>
      </c>
      <c r="G11" s="22" t="s">
        <v>31</v>
      </c>
      <c r="H11" s="22"/>
      <c r="I11" s="15"/>
      <c r="J11" s="15"/>
      <c r="K11" s="15"/>
      <c r="L11" s="15"/>
      <c r="M11" s="15"/>
    </row>
    <row r="12" spans="1:13" ht="26.25" x14ac:dyDescent="0.25">
      <c r="A12" s="146"/>
      <c r="B12" s="147"/>
      <c r="C12" s="147"/>
      <c r="D12" s="20" t="s">
        <v>29</v>
      </c>
      <c r="E12" s="16" t="s">
        <v>30</v>
      </c>
      <c r="F12" s="21" t="s">
        <v>159</v>
      </c>
      <c r="G12" s="35" t="s">
        <v>32</v>
      </c>
      <c r="H12" s="19"/>
      <c r="I12" s="15"/>
      <c r="J12" s="15"/>
      <c r="K12" s="15"/>
      <c r="L12" s="15"/>
      <c r="M12" s="15"/>
    </row>
    <row r="13" spans="1:13" ht="51.75" x14ac:dyDescent="0.25">
      <c r="A13" s="146"/>
      <c r="B13" s="147"/>
      <c r="C13" s="147"/>
      <c r="D13" s="20" t="s">
        <v>33</v>
      </c>
      <c r="E13" s="21" t="s">
        <v>872</v>
      </c>
      <c r="F13" s="21" t="s">
        <v>163</v>
      </c>
      <c r="G13" s="35" t="s">
        <v>35</v>
      </c>
      <c r="H13" s="19"/>
      <c r="I13" s="15"/>
      <c r="J13" s="15"/>
      <c r="K13" s="15"/>
      <c r="L13" s="15"/>
      <c r="M13" s="15"/>
    </row>
    <row r="14" spans="1:13" ht="102" x14ac:dyDescent="0.25">
      <c r="A14" s="146"/>
      <c r="B14" s="147"/>
      <c r="C14" s="147"/>
      <c r="D14" s="22" t="s">
        <v>160</v>
      </c>
      <c r="E14" s="21" t="s">
        <v>162</v>
      </c>
      <c r="F14" s="21" t="s">
        <v>161</v>
      </c>
      <c r="G14" s="20" t="s">
        <v>36</v>
      </c>
      <c r="H14" s="20"/>
      <c r="I14" s="15"/>
      <c r="J14" s="15"/>
      <c r="K14" s="15"/>
      <c r="L14" s="15"/>
      <c r="M14" s="15"/>
    </row>
    <row r="15" spans="1:13" ht="115.5" x14ac:dyDescent="0.25">
      <c r="A15" s="146"/>
      <c r="B15" s="147"/>
      <c r="C15" s="147"/>
      <c r="D15" s="22" t="s">
        <v>164</v>
      </c>
      <c r="E15" s="21" t="s">
        <v>37</v>
      </c>
      <c r="F15" s="23" t="s">
        <v>38</v>
      </c>
      <c r="G15" s="22" t="s">
        <v>39</v>
      </c>
      <c r="H15" s="22"/>
      <c r="I15" s="15"/>
      <c r="J15" s="15"/>
      <c r="K15" s="15"/>
      <c r="L15" s="15"/>
      <c r="M15" s="15"/>
    </row>
    <row r="16" spans="1:13" ht="128.25" x14ac:dyDescent="0.25">
      <c r="A16" s="146"/>
      <c r="B16" s="147"/>
      <c r="C16" s="147"/>
      <c r="D16" s="22" t="s">
        <v>165</v>
      </c>
      <c r="E16" s="21" t="s">
        <v>41</v>
      </c>
      <c r="F16" s="23" t="s">
        <v>166</v>
      </c>
      <c r="G16" s="22" t="s">
        <v>42</v>
      </c>
      <c r="H16" s="22"/>
      <c r="I16" s="15"/>
      <c r="J16" s="15"/>
      <c r="K16" s="15"/>
      <c r="L16" s="15"/>
      <c r="M16" s="15"/>
    </row>
    <row r="17" spans="1:13" ht="76.150000000000006" customHeight="1" x14ac:dyDescent="0.25">
      <c r="A17" s="146"/>
      <c r="B17" s="147"/>
      <c r="C17" s="147" t="s">
        <v>43</v>
      </c>
      <c r="D17" s="156" t="s">
        <v>44</v>
      </c>
      <c r="E17" s="21" t="s">
        <v>45</v>
      </c>
      <c r="F17" s="153" t="s">
        <v>168</v>
      </c>
      <c r="G17" s="156" t="s">
        <v>877</v>
      </c>
      <c r="H17" s="156"/>
      <c r="I17" s="15"/>
      <c r="J17" s="15"/>
      <c r="K17" s="15"/>
      <c r="L17" s="15"/>
      <c r="M17" s="15"/>
    </row>
    <row r="18" spans="1:13" ht="51" x14ac:dyDescent="0.25">
      <c r="A18" s="146"/>
      <c r="B18" s="147"/>
      <c r="C18" s="147"/>
      <c r="D18" s="157"/>
      <c r="E18" s="21" t="s">
        <v>46</v>
      </c>
      <c r="F18" s="154"/>
      <c r="G18" s="157"/>
      <c r="H18" s="157"/>
      <c r="I18" s="15"/>
      <c r="J18" s="15"/>
      <c r="K18" s="15"/>
      <c r="L18" s="15"/>
      <c r="M18" s="15"/>
    </row>
    <row r="19" spans="1:13" ht="25.5" x14ac:dyDescent="0.25">
      <c r="A19" s="146"/>
      <c r="B19" s="147"/>
      <c r="C19" s="147"/>
      <c r="D19" s="157"/>
      <c r="E19" s="21" t="s">
        <v>47</v>
      </c>
      <c r="F19" s="154"/>
      <c r="G19" s="157"/>
      <c r="H19" s="157"/>
      <c r="I19" s="15"/>
      <c r="J19" s="15"/>
      <c r="K19" s="15"/>
      <c r="L19" s="15"/>
      <c r="M19" s="15"/>
    </row>
    <row r="20" spans="1:13" ht="38.25" x14ac:dyDescent="0.25">
      <c r="A20" s="146"/>
      <c r="B20" s="147"/>
      <c r="C20" s="147"/>
      <c r="D20" s="157"/>
      <c r="E20" s="21" t="s">
        <v>48</v>
      </c>
      <c r="F20" s="154"/>
      <c r="G20" s="157"/>
      <c r="H20" s="157"/>
      <c r="I20" s="15"/>
      <c r="J20" s="15"/>
      <c r="K20" s="15"/>
      <c r="L20" s="15"/>
      <c r="M20" s="15"/>
    </row>
    <row r="21" spans="1:13" ht="25.5" x14ac:dyDescent="0.25">
      <c r="A21" s="146"/>
      <c r="B21" s="147"/>
      <c r="C21" s="147"/>
      <c r="D21" s="157"/>
      <c r="E21" s="21" t="s">
        <v>49</v>
      </c>
      <c r="F21" s="154"/>
      <c r="G21" s="157"/>
      <c r="H21" s="157"/>
      <c r="I21" s="15"/>
      <c r="J21" s="15"/>
      <c r="K21" s="15"/>
      <c r="L21" s="15"/>
      <c r="M21" s="15"/>
    </row>
    <row r="22" spans="1:13" ht="25.5" x14ac:dyDescent="0.25">
      <c r="A22" s="146"/>
      <c r="B22" s="147"/>
      <c r="C22" s="147"/>
      <c r="D22" s="157"/>
      <c r="E22" s="21" t="s">
        <v>50</v>
      </c>
      <c r="F22" s="154"/>
      <c r="G22" s="157"/>
      <c r="H22" s="157"/>
      <c r="I22" s="15"/>
      <c r="J22" s="15"/>
      <c r="K22" s="15"/>
      <c r="L22" s="15"/>
      <c r="M22" s="15"/>
    </row>
    <row r="23" spans="1:13" x14ac:dyDescent="0.25">
      <c r="A23" s="146"/>
      <c r="B23" s="147"/>
      <c r="C23" s="147"/>
      <c r="D23" s="158"/>
      <c r="E23" s="21" t="s">
        <v>167</v>
      </c>
      <c r="F23" s="155"/>
      <c r="G23" s="158"/>
      <c r="H23" s="158"/>
      <c r="I23" s="15"/>
      <c r="J23" s="15"/>
      <c r="K23" s="15"/>
      <c r="L23" s="15"/>
      <c r="M23" s="15"/>
    </row>
    <row r="24" spans="1:13" ht="64.5" x14ac:dyDescent="0.25">
      <c r="A24" s="146"/>
      <c r="B24" s="147"/>
      <c r="C24" s="147"/>
      <c r="D24" s="20" t="s">
        <v>52</v>
      </c>
      <c r="E24" s="21" t="s">
        <v>53</v>
      </c>
      <c r="F24" s="23" t="s">
        <v>169</v>
      </c>
      <c r="G24" s="22" t="s">
        <v>55</v>
      </c>
      <c r="H24" s="20"/>
      <c r="I24" s="15"/>
      <c r="J24" s="15"/>
      <c r="K24" s="15"/>
      <c r="L24" s="15"/>
      <c r="M24" s="15"/>
    </row>
    <row r="25" spans="1:13" ht="51.75" x14ac:dyDescent="0.25">
      <c r="A25" s="146"/>
      <c r="B25" s="147"/>
      <c r="C25" s="147"/>
      <c r="D25" s="20" t="s">
        <v>56</v>
      </c>
      <c r="E25" s="21" t="s">
        <v>57</v>
      </c>
      <c r="F25" s="23" t="s">
        <v>58</v>
      </c>
      <c r="G25" s="20" t="s">
        <v>105</v>
      </c>
      <c r="H25" s="20"/>
      <c r="I25" s="15"/>
      <c r="J25" s="15"/>
      <c r="K25" s="15"/>
      <c r="L25" s="15"/>
      <c r="M25" s="15"/>
    </row>
    <row r="26" spans="1:13" ht="77.25" x14ac:dyDescent="0.25">
      <c r="A26" s="146" t="s">
        <v>890</v>
      </c>
      <c r="B26" s="147" t="s">
        <v>59</v>
      </c>
      <c r="C26" s="21" t="s">
        <v>170</v>
      </c>
      <c r="D26" s="35" t="s">
        <v>12</v>
      </c>
      <c r="E26" s="21" t="s">
        <v>61</v>
      </c>
      <c r="F26" s="21" t="s">
        <v>62</v>
      </c>
      <c r="G26" s="20" t="s">
        <v>878</v>
      </c>
      <c r="H26" s="20"/>
      <c r="I26" s="15"/>
      <c r="J26" s="15"/>
      <c r="K26" s="15"/>
      <c r="L26" s="15"/>
      <c r="M26" s="15"/>
    </row>
    <row r="27" spans="1:13" ht="141" x14ac:dyDescent="0.25">
      <c r="A27" s="146"/>
      <c r="B27" s="147"/>
      <c r="C27" s="21" t="s">
        <v>171</v>
      </c>
      <c r="D27" s="35" t="s">
        <v>12</v>
      </c>
      <c r="E27" s="21" t="s">
        <v>63</v>
      </c>
      <c r="F27" s="23" t="s">
        <v>64</v>
      </c>
      <c r="G27" s="22" t="s">
        <v>104</v>
      </c>
      <c r="H27" s="22"/>
      <c r="I27" s="15"/>
      <c r="J27" s="15"/>
      <c r="K27" s="15"/>
      <c r="L27" s="15"/>
      <c r="M27" s="15"/>
    </row>
    <row r="28" spans="1:13" ht="323.10000000000002" customHeight="1" x14ac:dyDescent="0.25">
      <c r="A28" s="146"/>
      <c r="B28" s="147"/>
      <c r="C28" s="147" t="s">
        <v>172</v>
      </c>
      <c r="D28" s="146" t="s">
        <v>12</v>
      </c>
      <c r="E28" s="148" t="s">
        <v>65</v>
      </c>
      <c r="F28" s="24" t="s">
        <v>873</v>
      </c>
      <c r="G28" s="148" t="s">
        <v>103</v>
      </c>
      <c r="H28" s="148"/>
      <c r="I28" s="15"/>
      <c r="J28" s="15"/>
      <c r="K28" s="15"/>
      <c r="L28" s="15"/>
      <c r="M28" s="15"/>
    </row>
    <row r="29" spans="1:13" ht="279.60000000000002" customHeight="1" x14ac:dyDescent="0.25">
      <c r="A29" s="146"/>
      <c r="B29" s="147"/>
      <c r="C29" s="147"/>
      <c r="D29" s="146"/>
      <c r="E29" s="148"/>
      <c r="F29" s="24" t="s">
        <v>66</v>
      </c>
      <c r="G29" s="148"/>
      <c r="H29" s="148"/>
      <c r="I29" s="15"/>
      <c r="J29" s="15"/>
      <c r="K29" s="15"/>
      <c r="L29" s="15"/>
      <c r="M29" s="15"/>
    </row>
    <row r="30" spans="1:13" ht="208.5" customHeight="1" x14ac:dyDescent="0.25">
      <c r="A30" s="146"/>
      <c r="B30" s="147"/>
      <c r="C30" s="147"/>
      <c r="D30" s="146"/>
      <c r="E30" s="148"/>
      <c r="F30" s="17" t="s">
        <v>67</v>
      </c>
      <c r="G30" s="148"/>
      <c r="H30" s="148"/>
      <c r="I30" s="15"/>
      <c r="J30" s="15"/>
      <c r="K30" s="15"/>
      <c r="L30" s="15"/>
      <c r="M30" s="15"/>
    </row>
    <row r="31" spans="1:13" ht="357" x14ac:dyDescent="0.25">
      <c r="A31" s="146"/>
      <c r="B31" s="147"/>
      <c r="C31" s="21" t="s">
        <v>68</v>
      </c>
      <c r="D31" s="35" t="s">
        <v>12</v>
      </c>
      <c r="E31" s="21" t="s">
        <v>874</v>
      </c>
      <c r="F31" s="24" t="s">
        <v>875</v>
      </c>
      <c r="G31" s="22" t="s">
        <v>106</v>
      </c>
      <c r="H31" s="22"/>
      <c r="I31" s="15"/>
      <c r="J31" s="15"/>
      <c r="K31" s="15"/>
      <c r="L31" s="15"/>
      <c r="M31" s="15"/>
    </row>
    <row r="32" spans="1:13" ht="408" x14ac:dyDescent="0.25">
      <c r="A32" s="146"/>
      <c r="B32" s="147"/>
      <c r="C32" s="21" t="s">
        <v>69</v>
      </c>
      <c r="D32" s="35" t="s">
        <v>12</v>
      </c>
      <c r="E32" s="21" t="s">
        <v>70</v>
      </c>
      <c r="F32" s="21" t="s">
        <v>71</v>
      </c>
      <c r="G32" s="22" t="s">
        <v>102</v>
      </c>
      <c r="H32" s="22"/>
      <c r="I32" s="15"/>
      <c r="J32" s="15"/>
      <c r="K32" s="15"/>
      <c r="L32" s="15"/>
      <c r="M32" s="15"/>
    </row>
    <row r="33" spans="1:13" x14ac:dyDescent="0.25">
      <c r="A33" s="25"/>
      <c r="B33" s="15"/>
      <c r="C33" s="26"/>
      <c r="D33" s="27"/>
      <c r="E33" s="15"/>
      <c r="F33" s="15"/>
      <c r="G33" s="27"/>
      <c r="H33" s="27"/>
      <c r="I33" s="15"/>
      <c r="J33" s="15"/>
      <c r="K33" s="15"/>
      <c r="L33" s="15"/>
      <c r="M33" s="15"/>
    </row>
    <row r="34" spans="1:13" x14ac:dyDescent="0.25">
      <c r="A34" s="88"/>
      <c r="B34" s="94" t="s">
        <v>146</v>
      </c>
      <c r="C34" s="95"/>
      <c r="D34" s="96"/>
      <c r="E34" s="94"/>
      <c r="F34" s="94"/>
      <c r="G34" s="96"/>
      <c r="H34" s="149" t="s">
        <v>72</v>
      </c>
      <c r="I34" s="149"/>
      <c r="J34" s="149"/>
      <c r="K34" s="149"/>
      <c r="L34" s="149"/>
      <c r="M34" s="149"/>
    </row>
    <row r="35" spans="1:13" ht="148.5" customHeight="1" x14ac:dyDescent="0.25">
      <c r="A35" s="31" t="s">
        <v>889</v>
      </c>
      <c r="B35" s="150" t="str">
        <f>CONCATENATE(G4," ",G6," ",G8," ",G9," ",G11," ",G12," ",G13," ",G14," ",G15," ",G16," ",G17," ",G24," ",G25)</f>
        <v>SIN PRIORIDAD// RELACIÓN CLIENTE// ACTIVIDAD COMERCIALIZADOR DE AUTOPARTES "AUTOPARTES TURU S.A DE C.V. DIRECTOR GENERAL// NACIONALIDAD MEXICANA PAIS DE NACIMIENTO MEXICO// PRODUCTO CRÉDITO AUTOMOTRIZ// FECHA CONTRATACIÓN 31ENE2018// INICIO RELACIÓN 15MAR2016// PARTICIPES PRESENTA COMO OBLIGADO SOLIDARIO A SU HIJO JUAN LOPEZ PEREZ DE 24 AÑOS DE EDAD, NACIONALIDAD MEXICANA, CON FECHA DE NACIMIENTO 22MAR1986// NO TIENE OTROS PRODUCTOS QUE FORTALEZCAN LA INUSUALIDAD// EL CLIENTE PARTICIPA COMO AVAL EN EL CREDITO SIMPLE DE SU ESPOSA JUANA PEREZ LOPEZ, EL CUAL TIENE UN SALDO INSOLUTO DE 12,000.00 MN AL 05JUL2018 Y SE ENCUENTRA VIGENTE Y AL CORRIENTE// PERFIL TRANSACCIONAL EN EL PERIODO DEL 01MAR2018 AL 30JUN2018 EL CLIENTE REALIZO 7 PAGOS A SU CREDITO EN LA CUENTA DE LA ENTIDAD, LOS CUALES FUERON REGISTRADOS EN EFECTIVO POR UN MONTO ACUMULADO DE 36,000.00 MN QUE CORRESPONDEN AL PAGO DE 6 DE SUS AMORTIZACIONES Y UN ABONO A CAPITAL POR 20,000.00 MN, EL SUJETO DECLARO AL CONTRATAR EL PRODUCTO QUE SE DEDICABA A LA COMERCIALIZACION DE CARNES Y QUE CADA SEIS MESES APORTARIA 20,000.00 MN A CAPITAL DEL PRESTAMO OTORGADO A 5 AÑOS// SALDO DEL CONTRATO AL 05JUL2018 EL SALDO ES DE 0.00 MN// ANTECEDENTES DE ROIS PREVIOS EL CLIENTE NO CUENTA CON ROIS PREVIOS//</v>
      </c>
      <c r="C35" s="150"/>
      <c r="D35" s="150"/>
      <c r="E35" s="150"/>
      <c r="F35" s="150"/>
      <c r="G35" s="150"/>
      <c r="H35" s="150" t="str">
        <f>CONCATENATE(H4," ",H6," ",H8," ",H9," ",H11," ",H12," ",H13," ",H14," ",H15," ",H16," ",H17," ",H24," ",H25)</f>
        <v xml:space="preserve">            </v>
      </c>
      <c r="I35" s="150"/>
      <c r="J35" s="150"/>
      <c r="K35" s="150"/>
      <c r="L35" s="150"/>
      <c r="M35" s="150"/>
    </row>
    <row r="36" spans="1:13" x14ac:dyDescent="0.25">
      <c r="A36" s="89"/>
      <c r="B36" s="90" t="s">
        <v>147</v>
      </c>
      <c r="C36" s="91"/>
      <c r="D36" s="92"/>
      <c r="E36" s="93"/>
      <c r="F36" s="93"/>
      <c r="G36" s="92"/>
      <c r="H36" s="151" t="s">
        <v>72</v>
      </c>
      <c r="I36" s="151"/>
      <c r="J36" s="151"/>
      <c r="K36" s="151"/>
      <c r="L36" s="151"/>
      <c r="M36" s="151"/>
    </row>
    <row r="37" spans="1:13" ht="252" customHeight="1" x14ac:dyDescent="0.25">
      <c r="A37" s="31" t="s">
        <v>890</v>
      </c>
      <c r="B37" s="148" t="str">
        <f>CONCATENATE(G26," ",G27," ",G28," ",G31," ",G32)</f>
        <v>ALERTA LIQUIDACION ANTICIPADA DE CREDITO, ALERTA FRECUENCIA DE PAGO, ALERTA POR MONTOS EXCEDIDOS A SU MÁXIMO DE PAGO, ALERTA POR CAMBIO DE GRADO DE RIESGO POR ACTIVIDAD ECONOMICA// ANALISIS DE LA ALERTA  CLIENTE QUE LIQUIDO DE MANERA ANTICIPADA EL CREDITO AUTOMOTRIZ A LOS SEIS MESES DE HABER SIDO OTORGADO// CONTEXTO EL 05JUL2018 EL CLIENTE ACUDIO A LIQUIDAR EL CREDITO AUTOMOTRIZ DE UN VOLKS WAGEN  PASSAT QUE LE FUE OTORGADO, EL SALDO A LIQUIDAR ERA DE 244,000.00 MN EN EFECTIVO, SIN EMBARGO, LA ENTIDAD TIENE ESTABLECIDO UN LIMITE PARA LA RECEPCION DE RECURSOS EN LA CUENTA BANCARIA QUE TIENE EN BANCO XXX, POR LO QUE EL CLIENTE REALIZO CUATRO DEPOSITOS EL DIA 01JUL2018 POR 61,000.00 MN CADA UNO. ESTA  LIQUIDACION SE REALIZO A LOS SEIS MESES DE  HABER SIDO OTORGADO EL CREDITO, EL CUAL TÉNIA UN PLAZO DE 4 AÑOS.  DE MARZO A JUNIO DE 2018 EL CLIENTE HABIA REALIZADO EL PAGO DE LAS MENSUALIDADES DEL CREDITO CONFORME A LA TABLA  DE AMORTIZACION, LOS CUALES ERAN DE 8,000.00 MN Y UN ABONO A CAPITAL DE 20,000.00 MN. CONFORME A LA INFORMACION RECABADA EN LA CONTRATACION DEL CREDITO,  LOS INGRESOS DEL CLIENTE NO SON ACORDES AL MONTO EMPLEADO PARA LIQUIDAR EL CREDITO,  AL INDICAR QUE SUS INGRESOS MENSUALES ASCENDIAN A 25,000.00 MN//  GESTIONES SE LE PREGUNTO AL CLIENTE EL ORIGEN DE LOS RECURSOS Y COMENTO  QUE ERAN UNA HERENCIA QUE LE HABÍAN DEJADO, SE LE SOLICITO EL DOCUMENTO QUE AVALARA DICHA ADQUISICION RESPONDIENDO QUE LO PRESENTARA AL DIA SIGUIENTE, SIN EMBARGO NO VOLVIO, POR LO QUE SE LE REALIZARON  MULTIPLES LLAMADAS TELEFONICAS AL NUMERO PROPORCIONADO PERO NUNCA CONTESTO MOTIVO POR EL CUAL SE PROCEDIO A VISITAR EL DOMICILIO REGISTRADO ENCONTRANDO QUE SE UBICA EN UNA ZONA DEL ESTADO  DE MEXICO CON CALLES SIN PAVIMENTAR Y LA PERSONA QUE ATEND I O AL EJECUTIVO EN EL DOMICILIO INDICO NO CONOCER AL CLIENTE//  DETERMINACION DE LA INUSUALIDAD SE DETERMINA COMO INUSUAL YA  QUE EL CLIENTE LIQUIDO SU CREDITO AUTOMOTRIZ DURANTE LOS PRIMEROS MESES DEL CREDITO DEPOSITANDO UN MONTO ELEVADO EN EFECTIVO, SIN QUE JUSTIFICARA EL ORIGEN DE DICHOS RECURSOS ADEMAS DE QUE NO SE LOGRO LOCALIZAR AL CLIENTE NI POR TELEFONO NI EN EL DOMICILIO REGISTRADO, EL CUAL ADEMAS SE ENCUENTRA EN UNA ZONA QUE NO ES ACORDE AL VALOR  DEL VEHICULO 
ADQUIRIDO //</v>
      </c>
      <c r="C37" s="148"/>
      <c r="D37" s="148"/>
      <c r="E37" s="148"/>
      <c r="F37" s="148"/>
      <c r="G37" s="148"/>
      <c r="H37" s="148" t="str">
        <f>CONCATENATE(H26," ",H27," ",H28," ",H31," ",H32)</f>
        <v xml:space="preserve">    </v>
      </c>
      <c r="I37" s="148"/>
      <c r="J37" s="148"/>
      <c r="K37" s="148"/>
      <c r="L37" s="148"/>
      <c r="M37" s="148"/>
    </row>
    <row r="38" spans="1:13" x14ac:dyDescent="0.25">
      <c r="A38" s="25"/>
      <c r="B38" s="15"/>
      <c r="C38" s="26"/>
      <c r="D38" s="27"/>
      <c r="E38" s="15"/>
      <c r="F38" s="15"/>
      <c r="G38" s="27"/>
      <c r="H38" s="27"/>
      <c r="I38" s="15"/>
      <c r="J38" s="15"/>
      <c r="K38" s="15"/>
      <c r="L38" s="15"/>
      <c r="M38" s="15"/>
    </row>
  </sheetData>
  <mergeCells count="31">
    <mergeCell ref="C11:C16"/>
    <mergeCell ref="F17:F23"/>
    <mergeCell ref="G17:G23"/>
    <mergeCell ref="H17:H23"/>
    <mergeCell ref="D17:D23"/>
    <mergeCell ref="C17:C25"/>
    <mergeCell ref="H9:H10"/>
    <mergeCell ref="C4:C5"/>
    <mergeCell ref="G4:G5"/>
    <mergeCell ref="H4:H5"/>
    <mergeCell ref="C6:C10"/>
    <mergeCell ref="D6:D7"/>
    <mergeCell ref="G6:G7"/>
    <mergeCell ref="H6:H7"/>
    <mergeCell ref="D9:D10"/>
    <mergeCell ref="A4:A25"/>
    <mergeCell ref="B4:B25"/>
    <mergeCell ref="B37:G37"/>
    <mergeCell ref="H37:M37"/>
    <mergeCell ref="A26:A32"/>
    <mergeCell ref="B26:B32"/>
    <mergeCell ref="C28:C30"/>
    <mergeCell ref="D28:D30"/>
    <mergeCell ref="E28:E30"/>
    <mergeCell ref="G28:G30"/>
    <mergeCell ref="H28:H30"/>
    <mergeCell ref="H34:M34"/>
    <mergeCell ref="B35:G35"/>
    <mergeCell ref="H35:M35"/>
    <mergeCell ref="H36:M36"/>
    <mergeCell ref="G9:G1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2"/>
  <sheetViews>
    <sheetView showGridLines="0" zoomScale="70" zoomScaleNormal="70" workbookViewId="0">
      <pane xSplit="2" ySplit="3" topLeftCell="C4" activePane="bottomRight" state="frozen"/>
      <selection pane="topRight" activeCell="C1" sqref="C1"/>
      <selection pane="bottomLeft" activeCell="A4" sqref="A4"/>
      <selection pane="bottomRight" activeCell="G7" sqref="G7"/>
    </sheetView>
  </sheetViews>
  <sheetFormatPr baseColWidth="10" defaultColWidth="10.7109375" defaultRowHeight="15" x14ac:dyDescent="0.25"/>
  <cols>
    <col min="1" max="1" width="7" style="2" customWidth="1"/>
    <col min="2" max="2" width="14.7109375" customWidth="1"/>
    <col min="3" max="3" width="12.7109375" style="1" customWidth="1"/>
    <col min="4" max="4" width="12.7109375" style="40" customWidth="1"/>
    <col min="5" max="5" width="17.7109375" style="40" customWidth="1"/>
    <col min="6" max="6" width="40.28515625" customWidth="1"/>
    <col min="7" max="7" width="37.28515625" style="40" customWidth="1"/>
    <col min="8" max="8" width="37.28515625" style="3" customWidth="1"/>
    <col min="14" max="14" width="3.28515625" customWidth="1"/>
  </cols>
  <sheetData>
    <row r="1" spans="1:13" ht="26.25" x14ac:dyDescent="0.3">
      <c r="A1" s="83" t="s">
        <v>73</v>
      </c>
      <c r="B1" s="49"/>
      <c r="C1" s="50"/>
      <c r="D1" s="98"/>
      <c r="E1" s="98"/>
      <c r="F1" s="49"/>
      <c r="G1" s="98"/>
    </row>
    <row r="3" spans="1:13" x14ac:dyDescent="0.25">
      <c r="A3" s="84" t="s">
        <v>0</v>
      </c>
      <c r="B3" s="85" t="s">
        <v>1</v>
      </c>
      <c r="C3" s="86" t="s">
        <v>3</v>
      </c>
      <c r="D3" s="97" t="s">
        <v>11</v>
      </c>
      <c r="E3" s="97" t="s">
        <v>5</v>
      </c>
      <c r="F3" s="85" t="s">
        <v>7</v>
      </c>
      <c r="G3" s="97" t="s">
        <v>40</v>
      </c>
      <c r="H3" s="87" t="s">
        <v>74</v>
      </c>
      <c r="I3" s="15"/>
      <c r="J3" s="15"/>
      <c r="K3" s="15"/>
      <c r="L3" s="15"/>
      <c r="M3" s="15"/>
    </row>
    <row r="4" spans="1:13" ht="114.75" x14ac:dyDescent="0.25">
      <c r="A4" s="146">
        <v>35</v>
      </c>
      <c r="B4" s="147" t="s">
        <v>2</v>
      </c>
      <c r="C4" s="147" t="s">
        <v>4</v>
      </c>
      <c r="D4" s="167" t="s">
        <v>12</v>
      </c>
      <c r="E4" s="35" t="s">
        <v>181</v>
      </c>
      <c r="F4" s="17" t="s">
        <v>870</v>
      </c>
      <c r="G4" s="148" t="s">
        <v>23</v>
      </c>
      <c r="H4" s="148"/>
      <c r="I4" s="15"/>
      <c r="J4" s="15"/>
      <c r="K4" s="15"/>
      <c r="L4" s="15"/>
      <c r="M4" s="15"/>
    </row>
    <row r="5" spans="1:13" x14ac:dyDescent="0.25">
      <c r="A5" s="146"/>
      <c r="B5" s="147"/>
      <c r="C5" s="147"/>
      <c r="D5" s="169"/>
      <c r="E5" s="35" t="s">
        <v>182</v>
      </c>
      <c r="F5" s="18" t="s">
        <v>9</v>
      </c>
      <c r="G5" s="148"/>
      <c r="H5" s="148"/>
      <c r="I5" s="15"/>
      <c r="J5" s="15"/>
      <c r="K5" s="15"/>
      <c r="L5" s="15"/>
      <c r="M5" s="15"/>
    </row>
    <row r="6" spans="1:13" ht="26.25" x14ac:dyDescent="0.25">
      <c r="A6" s="146"/>
      <c r="B6" s="147"/>
      <c r="C6" s="148" t="s">
        <v>173</v>
      </c>
      <c r="D6" s="148" t="s">
        <v>183</v>
      </c>
      <c r="E6" s="35" t="s">
        <v>184</v>
      </c>
      <c r="F6" s="23" t="s">
        <v>188</v>
      </c>
      <c r="G6" s="22" t="s">
        <v>187</v>
      </c>
      <c r="H6" s="148"/>
      <c r="I6" s="15"/>
      <c r="J6" s="15"/>
      <c r="K6" s="15"/>
      <c r="L6" s="15"/>
      <c r="M6" s="15"/>
    </row>
    <row r="7" spans="1:13" ht="58.5" customHeight="1" x14ac:dyDescent="0.25">
      <c r="A7" s="146"/>
      <c r="B7" s="147"/>
      <c r="C7" s="148"/>
      <c r="D7" s="148"/>
      <c r="E7" s="35" t="s">
        <v>174</v>
      </c>
      <c r="F7" s="23" t="s">
        <v>185</v>
      </c>
      <c r="G7" s="22" t="s">
        <v>186</v>
      </c>
      <c r="H7" s="148"/>
      <c r="I7" s="15"/>
      <c r="J7" s="15"/>
      <c r="K7" s="15"/>
      <c r="L7" s="15"/>
      <c r="M7" s="15"/>
    </row>
    <row r="8" spans="1:13" ht="37.9" customHeight="1" x14ac:dyDescent="0.25">
      <c r="A8" s="146"/>
      <c r="B8" s="147"/>
      <c r="C8" s="148"/>
      <c r="D8" s="22" t="s">
        <v>175</v>
      </c>
      <c r="E8" s="22" t="s">
        <v>176</v>
      </c>
      <c r="F8" s="23" t="s">
        <v>189</v>
      </c>
      <c r="G8" s="22" t="s">
        <v>192</v>
      </c>
      <c r="H8" s="22"/>
      <c r="I8" s="15"/>
      <c r="J8" s="15"/>
      <c r="K8" s="15"/>
      <c r="L8" s="15"/>
      <c r="M8" s="15"/>
    </row>
    <row r="9" spans="1:13" ht="179.25" x14ac:dyDescent="0.25">
      <c r="A9" s="146"/>
      <c r="B9" s="147"/>
      <c r="C9" s="148"/>
      <c r="D9" s="22" t="s">
        <v>879</v>
      </c>
      <c r="E9" s="22" t="s">
        <v>177</v>
      </c>
      <c r="F9" s="20" t="s">
        <v>191</v>
      </c>
      <c r="G9" s="38" t="s">
        <v>190</v>
      </c>
      <c r="H9" s="20"/>
      <c r="I9" s="15"/>
      <c r="J9" s="15"/>
      <c r="K9" s="15"/>
      <c r="L9" s="15"/>
      <c r="M9" s="15"/>
    </row>
    <row r="10" spans="1:13" ht="51.75" x14ac:dyDescent="0.25">
      <c r="A10" s="146"/>
      <c r="B10" s="147"/>
      <c r="C10" s="148"/>
      <c r="D10" s="164" t="s">
        <v>193</v>
      </c>
      <c r="E10" s="35" t="s">
        <v>195</v>
      </c>
      <c r="F10" s="23" t="s">
        <v>197</v>
      </c>
      <c r="G10" s="22" t="s">
        <v>25</v>
      </c>
      <c r="H10" s="152"/>
      <c r="I10" s="15"/>
      <c r="J10" s="15"/>
      <c r="K10" s="15"/>
      <c r="L10" s="15"/>
      <c r="M10" s="15"/>
    </row>
    <row r="11" spans="1:13" ht="25.5" x14ac:dyDescent="0.25">
      <c r="A11" s="146"/>
      <c r="B11" s="147"/>
      <c r="C11" s="148"/>
      <c r="D11" s="164"/>
      <c r="E11" s="35" t="s">
        <v>194</v>
      </c>
      <c r="F11" s="23" t="s">
        <v>198</v>
      </c>
      <c r="G11" s="22" t="s">
        <v>196</v>
      </c>
      <c r="H11" s="152"/>
      <c r="I11" s="15"/>
      <c r="J11" s="15"/>
      <c r="K11" s="15"/>
      <c r="L11" s="15"/>
      <c r="M11" s="15"/>
    </row>
    <row r="12" spans="1:13" ht="76.5" x14ac:dyDescent="0.25">
      <c r="A12" s="146"/>
      <c r="B12" s="147"/>
      <c r="C12" s="147" t="s">
        <v>880</v>
      </c>
      <c r="D12" s="22" t="s">
        <v>199</v>
      </c>
      <c r="E12" s="22" t="s">
        <v>12</v>
      </c>
      <c r="F12" s="22" t="s">
        <v>200</v>
      </c>
      <c r="G12" s="36" t="s">
        <v>201</v>
      </c>
      <c r="H12" s="22"/>
      <c r="I12" s="15"/>
      <c r="J12" s="15"/>
      <c r="K12" s="15"/>
      <c r="L12" s="15"/>
      <c r="M12" s="15"/>
    </row>
    <row r="13" spans="1:13" ht="127.5" x14ac:dyDescent="0.25">
      <c r="A13" s="146"/>
      <c r="B13" s="147"/>
      <c r="C13" s="147"/>
      <c r="D13" s="22" t="s">
        <v>205</v>
      </c>
      <c r="E13" s="22" t="s">
        <v>202</v>
      </c>
      <c r="F13" s="22" t="s">
        <v>203</v>
      </c>
      <c r="G13" s="22" t="s">
        <v>204</v>
      </c>
      <c r="H13" s="22"/>
      <c r="I13" s="15"/>
      <c r="J13" s="15"/>
      <c r="K13" s="15"/>
      <c r="L13" s="15"/>
      <c r="M13" s="15"/>
    </row>
    <row r="14" spans="1:13" ht="90" x14ac:dyDescent="0.25">
      <c r="A14" s="146"/>
      <c r="B14" s="147"/>
      <c r="C14" s="147"/>
      <c r="D14" s="35" t="s">
        <v>206</v>
      </c>
      <c r="E14" s="35" t="s">
        <v>30</v>
      </c>
      <c r="F14" s="23" t="s">
        <v>207</v>
      </c>
      <c r="G14" s="35" t="s">
        <v>32</v>
      </c>
      <c r="H14" s="19"/>
      <c r="I14" s="15"/>
      <c r="J14" s="15"/>
      <c r="K14" s="15"/>
      <c r="L14" s="15"/>
      <c r="M14" s="15"/>
    </row>
    <row r="15" spans="1:13" ht="64.5" x14ac:dyDescent="0.25">
      <c r="A15" s="146"/>
      <c r="B15" s="147"/>
      <c r="C15" s="147"/>
      <c r="D15" s="35" t="s">
        <v>208</v>
      </c>
      <c r="E15" s="35" t="s">
        <v>34</v>
      </c>
      <c r="F15" s="23" t="s">
        <v>209</v>
      </c>
      <c r="G15" s="35" t="s">
        <v>35</v>
      </c>
      <c r="H15" s="19"/>
      <c r="I15" s="15"/>
      <c r="J15" s="15"/>
      <c r="K15" s="15"/>
      <c r="L15" s="15"/>
      <c r="M15" s="15"/>
    </row>
    <row r="16" spans="1:13" ht="140.25" x14ac:dyDescent="0.25">
      <c r="A16" s="146"/>
      <c r="B16" s="147"/>
      <c r="C16" s="147"/>
      <c r="D16" s="22" t="s">
        <v>211</v>
      </c>
      <c r="E16" s="22" t="s">
        <v>210</v>
      </c>
      <c r="F16" s="21" t="s">
        <v>212</v>
      </c>
      <c r="G16" s="22" t="s">
        <v>213</v>
      </c>
      <c r="H16" s="20"/>
      <c r="I16" s="15"/>
      <c r="J16" s="15"/>
      <c r="K16" s="15"/>
      <c r="L16" s="15"/>
      <c r="M16" s="15"/>
    </row>
    <row r="17" spans="1:13" ht="128.25" x14ac:dyDescent="0.25">
      <c r="A17" s="146"/>
      <c r="B17" s="147"/>
      <c r="C17" s="147"/>
      <c r="D17" s="35" t="s">
        <v>214</v>
      </c>
      <c r="E17" s="22" t="s">
        <v>41</v>
      </c>
      <c r="F17" s="23" t="s">
        <v>215</v>
      </c>
      <c r="G17" s="36" t="s">
        <v>216</v>
      </c>
      <c r="H17" s="22"/>
      <c r="I17" s="15"/>
      <c r="J17" s="15"/>
      <c r="K17" s="15"/>
      <c r="L17" s="15"/>
      <c r="M17" s="15"/>
    </row>
    <row r="18" spans="1:13" ht="102.75" x14ac:dyDescent="0.25">
      <c r="A18" s="146"/>
      <c r="B18" s="147"/>
      <c r="C18" s="147"/>
      <c r="D18" s="22" t="s">
        <v>178</v>
      </c>
      <c r="E18" s="22" t="s">
        <v>179</v>
      </c>
      <c r="F18" s="23" t="s">
        <v>217</v>
      </c>
      <c r="G18" s="22" t="s">
        <v>180</v>
      </c>
      <c r="H18" s="22"/>
      <c r="I18" s="15"/>
      <c r="J18" s="15"/>
      <c r="K18" s="15"/>
      <c r="L18" s="15"/>
      <c r="M18" s="15"/>
    </row>
    <row r="19" spans="1:13" ht="52.15" customHeight="1" x14ac:dyDescent="0.25">
      <c r="A19" s="146"/>
      <c r="B19" s="147"/>
      <c r="C19" s="147" t="s">
        <v>43</v>
      </c>
      <c r="D19" s="156" t="s">
        <v>44</v>
      </c>
      <c r="E19" s="22" t="s">
        <v>45</v>
      </c>
      <c r="F19" s="165" t="s">
        <v>51</v>
      </c>
      <c r="G19" s="161" t="s">
        <v>881</v>
      </c>
      <c r="H19" s="148"/>
      <c r="I19" s="15"/>
      <c r="J19" s="15"/>
      <c r="K19" s="15"/>
      <c r="L19" s="15"/>
      <c r="M19" s="15"/>
    </row>
    <row r="20" spans="1:13" ht="51" x14ac:dyDescent="0.25">
      <c r="A20" s="146"/>
      <c r="B20" s="147"/>
      <c r="C20" s="147"/>
      <c r="D20" s="157"/>
      <c r="E20" s="22" t="s">
        <v>46</v>
      </c>
      <c r="F20" s="166"/>
      <c r="G20" s="162"/>
      <c r="H20" s="164"/>
      <c r="I20" s="15"/>
      <c r="J20" s="15"/>
      <c r="K20" s="15"/>
      <c r="L20" s="15"/>
      <c r="M20" s="15"/>
    </row>
    <row r="21" spans="1:13" ht="25.5" x14ac:dyDescent="0.25">
      <c r="A21" s="146"/>
      <c r="B21" s="147"/>
      <c r="C21" s="147"/>
      <c r="D21" s="157"/>
      <c r="E21" s="22" t="s">
        <v>47</v>
      </c>
      <c r="F21" s="166"/>
      <c r="G21" s="162"/>
      <c r="H21" s="164"/>
      <c r="I21" s="15"/>
      <c r="J21" s="15"/>
      <c r="K21" s="15"/>
      <c r="L21" s="15"/>
      <c r="M21" s="15"/>
    </row>
    <row r="22" spans="1:13" ht="38.25" x14ac:dyDescent="0.25">
      <c r="A22" s="146"/>
      <c r="B22" s="147"/>
      <c r="C22" s="147"/>
      <c r="D22" s="157"/>
      <c r="E22" s="22" t="s">
        <v>48</v>
      </c>
      <c r="F22" s="166"/>
      <c r="G22" s="162"/>
      <c r="H22" s="164"/>
      <c r="I22" s="15"/>
      <c r="J22" s="15"/>
      <c r="K22" s="15"/>
      <c r="L22" s="15"/>
      <c r="M22" s="15"/>
    </row>
    <row r="23" spans="1:13" ht="25.5" x14ac:dyDescent="0.25">
      <c r="A23" s="146"/>
      <c r="B23" s="147"/>
      <c r="C23" s="147"/>
      <c r="D23" s="157"/>
      <c r="E23" s="22" t="s">
        <v>49</v>
      </c>
      <c r="F23" s="166"/>
      <c r="G23" s="162"/>
      <c r="H23" s="164"/>
      <c r="I23" s="15"/>
      <c r="J23" s="15"/>
      <c r="K23" s="15"/>
      <c r="L23" s="15"/>
      <c r="M23" s="15"/>
    </row>
    <row r="24" spans="1:13" ht="25.5" x14ac:dyDescent="0.25">
      <c r="A24" s="146"/>
      <c r="B24" s="147"/>
      <c r="C24" s="147"/>
      <c r="D24" s="157"/>
      <c r="E24" s="22" t="s">
        <v>50</v>
      </c>
      <c r="F24" s="166"/>
      <c r="G24" s="162"/>
      <c r="H24" s="164"/>
      <c r="I24" s="15"/>
      <c r="J24" s="15"/>
      <c r="K24" s="15"/>
      <c r="L24" s="15"/>
      <c r="M24" s="15"/>
    </row>
    <row r="25" spans="1:13" ht="115.5" x14ac:dyDescent="0.25">
      <c r="A25" s="146"/>
      <c r="B25" s="147"/>
      <c r="C25" s="147"/>
      <c r="D25" s="157"/>
      <c r="E25" s="22" t="s">
        <v>218</v>
      </c>
      <c r="F25" s="23" t="s">
        <v>219</v>
      </c>
      <c r="G25" s="162"/>
      <c r="H25" s="35"/>
      <c r="I25" s="15"/>
      <c r="J25" s="15"/>
      <c r="K25" s="15"/>
      <c r="L25" s="15"/>
      <c r="M25" s="15"/>
    </row>
    <row r="26" spans="1:13" ht="51.75" x14ac:dyDescent="0.25">
      <c r="A26" s="146"/>
      <c r="B26" s="147"/>
      <c r="C26" s="147"/>
      <c r="D26" s="158"/>
      <c r="E26" s="22" t="s">
        <v>167</v>
      </c>
      <c r="F26" s="23" t="s">
        <v>220</v>
      </c>
      <c r="G26" s="163"/>
      <c r="H26" s="35"/>
      <c r="I26" s="15"/>
      <c r="J26" s="15"/>
      <c r="K26" s="15"/>
      <c r="L26" s="15"/>
      <c r="M26" s="15"/>
    </row>
    <row r="27" spans="1:13" ht="76.5" x14ac:dyDescent="0.25">
      <c r="A27" s="146"/>
      <c r="B27" s="147"/>
      <c r="C27" s="147"/>
      <c r="D27" s="22" t="s">
        <v>227</v>
      </c>
      <c r="E27" s="22" t="s">
        <v>221</v>
      </c>
      <c r="F27" s="23" t="s">
        <v>222</v>
      </c>
      <c r="G27" s="22" t="s">
        <v>224</v>
      </c>
      <c r="H27" s="20"/>
      <c r="I27" s="15"/>
      <c r="J27" s="15"/>
      <c r="K27" s="15"/>
      <c r="L27" s="15"/>
      <c r="M27" s="15"/>
    </row>
    <row r="28" spans="1:13" ht="114.75" x14ac:dyDescent="0.25">
      <c r="A28" s="146"/>
      <c r="B28" s="147"/>
      <c r="C28" s="147"/>
      <c r="D28" s="22" t="s">
        <v>228</v>
      </c>
      <c r="E28" s="22" t="s">
        <v>223</v>
      </c>
      <c r="F28" s="23" t="s">
        <v>225</v>
      </c>
      <c r="G28" s="22" t="s">
        <v>226</v>
      </c>
      <c r="H28" s="20"/>
      <c r="I28" s="15"/>
      <c r="J28" s="15"/>
      <c r="K28" s="15"/>
      <c r="L28" s="15"/>
      <c r="M28" s="15"/>
    </row>
    <row r="29" spans="1:13" ht="25.5" x14ac:dyDescent="0.25">
      <c r="A29" s="146">
        <v>36</v>
      </c>
      <c r="B29" s="147" t="s">
        <v>59</v>
      </c>
      <c r="C29" s="21" t="s">
        <v>60</v>
      </c>
      <c r="D29" s="35" t="s">
        <v>12</v>
      </c>
      <c r="E29" s="22" t="s">
        <v>242</v>
      </c>
      <c r="F29" s="23" t="s">
        <v>62</v>
      </c>
      <c r="G29" s="22" t="s">
        <v>229</v>
      </c>
      <c r="H29" s="20"/>
      <c r="I29" s="15"/>
      <c r="J29" s="15"/>
      <c r="K29" s="15"/>
      <c r="L29" s="15"/>
      <c r="M29" s="15"/>
    </row>
    <row r="30" spans="1:13" ht="141" x14ac:dyDescent="0.25">
      <c r="A30" s="146"/>
      <c r="B30" s="147"/>
      <c r="C30" s="21" t="s">
        <v>230</v>
      </c>
      <c r="D30" s="35" t="s">
        <v>12</v>
      </c>
      <c r="E30" s="22" t="s">
        <v>241</v>
      </c>
      <c r="F30" s="23" t="s">
        <v>64</v>
      </c>
      <c r="G30" s="22" t="s">
        <v>231</v>
      </c>
      <c r="H30" s="22"/>
      <c r="I30" s="15"/>
      <c r="J30" s="15"/>
      <c r="K30" s="15"/>
      <c r="L30" s="15"/>
      <c r="M30" s="15"/>
    </row>
    <row r="31" spans="1:13" ht="279.60000000000002" customHeight="1" x14ac:dyDescent="0.25">
      <c r="A31" s="146"/>
      <c r="B31" s="147"/>
      <c r="C31" s="156" t="s">
        <v>232</v>
      </c>
      <c r="D31" s="167" t="s">
        <v>12</v>
      </c>
      <c r="E31" s="159" t="s">
        <v>234</v>
      </c>
      <c r="F31" s="24" t="s">
        <v>233</v>
      </c>
      <c r="G31" s="159" t="s">
        <v>236</v>
      </c>
      <c r="H31" s="148"/>
      <c r="I31" s="15"/>
      <c r="J31" s="15"/>
      <c r="K31" s="15"/>
      <c r="L31" s="15"/>
      <c r="M31" s="15"/>
    </row>
    <row r="32" spans="1:13" ht="208.5" customHeight="1" x14ac:dyDescent="0.25">
      <c r="A32" s="146"/>
      <c r="B32" s="147"/>
      <c r="C32" s="157"/>
      <c r="D32" s="168"/>
      <c r="E32" s="160"/>
      <c r="F32" s="17" t="s">
        <v>67</v>
      </c>
      <c r="G32" s="160"/>
      <c r="H32" s="148"/>
      <c r="I32" s="15"/>
      <c r="J32" s="15"/>
      <c r="K32" s="15"/>
      <c r="L32" s="15"/>
      <c r="M32" s="15"/>
    </row>
    <row r="33" spans="1:15" ht="208.5" customHeight="1" x14ac:dyDescent="0.25">
      <c r="A33" s="146"/>
      <c r="B33" s="147"/>
      <c r="C33" s="158"/>
      <c r="D33" s="169"/>
      <c r="E33" s="45" t="s">
        <v>235</v>
      </c>
      <c r="F33" s="17" t="s">
        <v>238</v>
      </c>
      <c r="G33" s="45" t="s">
        <v>237</v>
      </c>
      <c r="H33" s="22"/>
      <c r="I33" s="15"/>
      <c r="J33" s="15"/>
      <c r="K33" s="15"/>
      <c r="L33" s="15"/>
      <c r="M33" s="15"/>
    </row>
    <row r="34" spans="1:15" ht="331.5" x14ac:dyDescent="0.25">
      <c r="A34" s="146"/>
      <c r="B34" s="147"/>
      <c r="C34" s="21" t="s">
        <v>68</v>
      </c>
      <c r="D34" s="35" t="s">
        <v>12</v>
      </c>
      <c r="E34" s="22" t="s">
        <v>882</v>
      </c>
      <c r="F34" s="24" t="s">
        <v>883</v>
      </c>
      <c r="G34" s="22" t="s">
        <v>239</v>
      </c>
      <c r="H34" s="22"/>
      <c r="I34" s="15"/>
      <c r="J34" s="15"/>
      <c r="K34" s="15"/>
      <c r="L34" s="15"/>
      <c r="M34" s="15"/>
    </row>
    <row r="35" spans="1:15" ht="408" x14ac:dyDescent="0.25">
      <c r="A35" s="146"/>
      <c r="B35" s="147"/>
      <c r="C35" s="21" t="s">
        <v>69</v>
      </c>
      <c r="D35" s="35" t="s">
        <v>12</v>
      </c>
      <c r="E35" s="22" t="s">
        <v>240</v>
      </c>
      <c r="F35" s="21" t="s">
        <v>243</v>
      </c>
      <c r="G35" s="22" t="s">
        <v>102</v>
      </c>
      <c r="H35" s="22"/>
      <c r="I35" s="15"/>
      <c r="J35" s="15"/>
      <c r="K35" s="15"/>
      <c r="L35" s="15"/>
      <c r="M35" s="15"/>
    </row>
    <row r="36" spans="1:15" x14ac:dyDescent="0.25">
      <c r="A36" s="25"/>
      <c r="B36" s="46"/>
      <c r="C36" s="39"/>
      <c r="D36" s="41"/>
      <c r="E36" s="44"/>
      <c r="F36" s="39"/>
      <c r="G36" s="44"/>
      <c r="H36" s="44"/>
      <c r="I36" s="15"/>
      <c r="J36" s="15"/>
      <c r="K36" s="15"/>
      <c r="L36" s="15"/>
      <c r="M36" s="15"/>
    </row>
    <row r="37" spans="1:15" x14ac:dyDescent="0.25">
      <c r="A37" s="25"/>
      <c r="B37" s="15"/>
      <c r="C37" s="26"/>
      <c r="D37" s="41"/>
      <c r="E37" s="41"/>
      <c r="F37" s="15"/>
      <c r="G37" s="41"/>
      <c r="H37" s="27"/>
      <c r="I37" s="15"/>
      <c r="J37" s="15"/>
      <c r="K37" s="15"/>
      <c r="L37" s="15"/>
      <c r="M37" s="15"/>
    </row>
    <row r="38" spans="1:15" x14ac:dyDescent="0.25">
      <c r="A38" s="88"/>
      <c r="B38" s="94" t="s">
        <v>146</v>
      </c>
      <c r="C38" s="95"/>
      <c r="D38" s="99"/>
      <c r="E38" s="99"/>
      <c r="F38" s="94"/>
      <c r="G38" s="99"/>
      <c r="H38" s="149" t="s">
        <v>72</v>
      </c>
      <c r="I38" s="149"/>
      <c r="J38" s="149"/>
      <c r="K38" s="149"/>
      <c r="L38" s="149"/>
      <c r="M38" s="149"/>
    </row>
    <row r="39" spans="1:15" ht="258.60000000000002" customHeight="1" x14ac:dyDescent="0.25">
      <c r="A39" s="31">
        <v>35</v>
      </c>
      <c r="B39" s="150" t="str">
        <f>CONCATENATE(G4," ",G6," ",G7," ",G8," ",G9," ",G10," ",G11, " ", G12, " ",G13," ",G14," ",G15," ",G16," ",G17," ",G18," ",G19," ",G27," ",G28)</f>
        <v>SIN PRIORIDAD// EMPLEADO DE LA INSTITUCIÓN// EXEMPLEADO, SE EXTINGUE LA RELACIÓN LABORAL A CAUSA DE LA INUSUALIDAD REPORTADA// 02008202 Actual 0202201//
02082020 al 02022021// GERENTE CORPORATIVO NO SE TIENE CONOCIMIENTO DE OTRA ACTIVIDAD ECONÓMICA//
GERENTE CORPORATIVO DECLARÓ CONTAR CON INGRESOS ADICIONALES POR PARTE DE ASESORÍA INDEPENDIENTE//
 NACIONALIDAD MEXICANA PAIS DE NACIMIENTO MEXICO// NACIONALIDAD ESPAÑOLA, BOLIVIANA PAIS DE NACIMIENTO BOLIVIA// EL EMPLEADO JUAN PEREZ ES EL TITULAR//
EL EMPLEADO JUAN PEREZ ES AVAL DE JOSÉ LÓPEZ// PRODUCTO CRÉDITO SIMPLE// FECHA CONTRATACIÓN 31ENE2018// INICIO RELACIÓN 15MAR2016// PARTICIPES PRESENTA COMO OBLIGADO SOLIDARIO A SU HIJO JUAN LOPEZ PEREZ DE 24 AÑOS DE EDAD, NACIONALIDAD MEXICANA, CON FECHA DE NACIMIENTO 22MAR1986//
NO TIENE PARTÍCIPES// EL CLIENTE PARTICIPA COMO AVAL EN EL CREDITO SIMPLE DE SU ESPOSA JUANA PEREZ LOPEZ, CONTRATO 1502, TIPO DE PRODUCTO CRÉDITO SIMPLE, PRIODO MAYO 2021, MONTO REPORTADO 15'000.00 MN, EL CUAL TIENE UN SALDO INSOLUTO DE 12,000.00 MN AL 05JUL2018 Y SE ENCUENTRA VIGENTE Y AL CORRIENTE CON PAGOS MENSUALES// NO PARTICIPA EN OTROS SERVICIOS QUE FORMEN PARTE DEL ANÁLISIS// PERFIL TRANSACCIONAL EN EL PERIODO DEL 01MAR2018 AL 30JUN2018 EL CLIENTE REALIZO 7 PAGOS A SU CREDITO EN LA CUENTA DE LA ENTIDAD, LOS CUALES FUERON REGISTRADOS EN EFECTIVO POR UN MONTO ACUMULADO DE 36,000.00 MN QUE CORRESPONDEN AL PAGO DE 6 DE SUS AMORTIZACIONES Y UN ABONO A CAPITAL POR 20,000.00 MN, EL SUJETO DECLARO AL CONTRATAR EL PRODUCTO QUE SE DEDICABA A LA COMERCIALIZACION DE CARNES Y QUE CADA SEIS MESES APORTARIA 20,000.00 MN A CAPITAL DEL PRESTAMO OTORGADO A 4 AÑOS, PRESENTANDO INFORMACIÓN APÓCRIFA // SALDO DE LA CUENTA AL 05JUL2018 EL SALDO ES DE 0.00 MN//
SALDO NO DISPONIBLE DEBIDO A QUE EL TIPO DE SERVICIO ES (INDICARLO) // ANTECEDENTES DE ROIS PREVIOS 21JUN2020, 
CAMBIO DE GRADO DE RIESGO DE MEDIO A ALTO, SE APLICÓ UN CUESTIONARIO DE DEBIDA DILIGENCIA Y SE REALIZÓ UNA VISITA DOMICILIARIA AL DOMICILIO DECLARADO POR EL CLIENTE//
EL CLIENTE NO CUENTA CON REPORTES DE OPERACIONES INUSUALES PREVIOS//</v>
      </c>
      <c r="C39" s="150"/>
      <c r="D39" s="150"/>
      <c r="E39" s="150"/>
      <c r="F39" s="150"/>
      <c r="G39" s="150"/>
      <c r="H39" s="150" t="str">
        <f>CONCATENATE(H4," ",H6," ",H9," ",H10," "," ",H14," ",H15," ",H16," ",H17," ",H19," ",H27," ",H28)</f>
        <v xml:space="preserve">           </v>
      </c>
      <c r="I39" s="150"/>
      <c r="J39" s="150"/>
      <c r="K39" s="150"/>
      <c r="L39" s="150"/>
      <c r="M39" s="150"/>
    </row>
    <row r="40" spans="1:15" x14ac:dyDescent="0.25">
      <c r="A40" s="89"/>
      <c r="B40" s="90" t="s">
        <v>147</v>
      </c>
      <c r="C40" s="91"/>
      <c r="D40" s="100"/>
      <c r="E40" s="100"/>
      <c r="F40" s="93"/>
      <c r="G40" s="100"/>
      <c r="H40" s="151" t="s">
        <v>72</v>
      </c>
      <c r="I40" s="151"/>
      <c r="J40" s="151"/>
      <c r="K40" s="151"/>
      <c r="L40" s="151"/>
      <c r="M40" s="151"/>
    </row>
    <row r="41" spans="1:15" ht="252" customHeight="1" x14ac:dyDescent="0.25">
      <c r="A41" s="31">
        <v>36</v>
      </c>
      <c r="B41" s="148" t="str">
        <f>CONCATENATE(G29," ",G30," ",G31," ",G34," ",G35)</f>
        <v>ALERTA LIQUIDACION ANTICIPADA DE CRÉDITO// ANALISIS DE LA ALERTA CLIENTE QUE LIQUIDO DE MANERA ANTICIPADA EL CREDITO AUTOMOTRIZ A LOS SEIS MESES DE HABER SIDO OTORGADO// CONTEXTO EL 05JUL2020 EL CLIENTE ACUDIO A LIQUIDAR EL CREDITO AUTOMOTRIZ DE UN VOLKS WAGEN  PASSAT QUE LE FUE OTORGADO, EL SALDO A LIQUIDAR ERA DE 244,000.00 MN EN EFECTIVO, SIN EMBARGO, LA ENTIDAD TIENE ESTABLECIDO UN LIMITE PARA LA RECEPCION DE RECURSOS EN LA CUENTA BANCARIA QUE TIENE EN BANCO XXX, POR LO QUE EL CLIENTE REALIZO CUATRO DEPOSITOS EL DIA 01JUL2018 POR 61,000.00 MN CADA UNO. ESTA  LIQUIDACION SE REALIZO A LOS SEIS MESES DE  HABER SIDO OTORGADO EL CREDITO, EL CUAL TÉNIA UN PLAZO DE 4 AÑOS.  DE MARZO A JUNIO DE 2018 EL CLIENTE HABIA REALIZADO EL PAGO DE LAS MENSUALIDADES DEL CREDITO CONFORME A LA TABLA  DE AMORTIZACION, LOS CUALES ERAN DE 8,000.00 MN Y UN ABONO A CAPITAL DE 20,000.00 MN. CONFORME A LA INFORMACION RECABADA EN LA CONTRATACION DEL CREDITO,  LOS INGRESOS DEL CLIENTE NO SON ACORDES AL MONTO EMPLEADO PARA LIQUIDAR EL CREDITO,  AL INDICAR QUE SUS INGRESOS MENSUALES ASCENDIAN A 25,000.00 MN// GESTIONES SE LE PREGUNTO AL CLIENTE EL ORIGEN DE LOS RECURSOS Y COMENTO  QUE ERAN UNA HERENCIA QUE LE HABÍAN DEJADO, SE LE SOLICITO EL DOCUMENTO QUE AVALARA DICHA ADQUISICION RESPONDIENDO QUE LO PRESENTARA AL DIA SIGUIENTE, SIN EMBARGO NO VOLVIO, POR LO QUE SE LE REALIZARON  MULTIPLES LLAMADAS TELEFONICAS AL NUMERO PROPORCIONADO PERO NUNCA CONTESTO MOTIVO POR EL CUAL SE PROCEDIO A VISITAR EL DOMICILIO REGISTRADO ENCONTRANDO QUE SE UBICA EN UNA ZONA DEL ESTADO  DE MEXICO CON CALLES SIN PAVIMENTAR Y LA PERSONA QUE ATEND I O AL EJECUTIVO EN EL DOMICILIO INDICO NO CONOCER AL CLIENTE// 
NO EXISTEN GESTIONES ADICIONALES QUE APORTEN LA INUSUALIDAD// DETERMINACION DE LA INUSUALIDAD SE DETERMINA COMO INUSUAL YA  QUE EL CLIENTE LIQUIDO SU CREDITO AUTOMOTRIZ DURANTE LOS PRIMEROS MESES DEL CREDITO DEPOSITANDO UN MONTO ELEVADO EN EFECTIVO, SIN QUE JUSTIFICARA EL ORIGEN DE DICHOS RECURSOS ADEMAS DE QUE NO SE LOGRO LOCALIZAR AL CLIENTE NI POR TELEFONO NI EN EL DOMICILIO REGISTRADO, EL CUAL ADEMAS SE ENCUENTRA EN UNA ZONA QUE NO ES ACORDE AL VALOR  DEL VEHICULO 
ADQUIRIDO //</v>
      </c>
      <c r="C41" s="148"/>
      <c r="D41" s="148"/>
      <c r="E41" s="148"/>
      <c r="F41" s="148"/>
      <c r="G41" s="148"/>
      <c r="H41" s="148" t="str">
        <f>CONCATENATE(H29," ",H30," ",H34," ",H35)</f>
        <v xml:space="preserve">   </v>
      </c>
      <c r="I41" s="148"/>
      <c r="J41" s="148"/>
      <c r="K41" s="148"/>
      <c r="L41" s="148"/>
      <c r="M41" s="148"/>
      <c r="O41" t="s">
        <v>254</v>
      </c>
    </row>
    <row r="42" spans="1:15" x14ac:dyDescent="0.25">
      <c r="A42" s="25"/>
      <c r="B42" s="15"/>
      <c r="C42" s="26"/>
      <c r="D42" s="41"/>
      <c r="E42" s="41"/>
      <c r="F42" s="15"/>
      <c r="G42" s="41"/>
      <c r="H42" s="27"/>
      <c r="I42" s="15"/>
      <c r="J42" s="15"/>
      <c r="K42" s="15"/>
      <c r="L42" s="15"/>
      <c r="M42" s="15"/>
    </row>
  </sheetData>
  <mergeCells count="30">
    <mergeCell ref="A4:A28"/>
    <mergeCell ref="B29:B35"/>
    <mergeCell ref="A29:A35"/>
    <mergeCell ref="D31:D33"/>
    <mergeCell ref="C31:C33"/>
    <mergeCell ref="C4:C5"/>
    <mergeCell ref="D10:D11"/>
    <mergeCell ref="D4:D5"/>
    <mergeCell ref="H40:M40"/>
    <mergeCell ref="H41:M41"/>
    <mergeCell ref="C19:C28"/>
    <mergeCell ref="B41:G41"/>
    <mergeCell ref="B4:B28"/>
    <mergeCell ref="B39:G39"/>
    <mergeCell ref="D6:D7"/>
    <mergeCell ref="C6:C11"/>
    <mergeCell ref="H4:H5"/>
    <mergeCell ref="H6:H7"/>
    <mergeCell ref="H10:H11"/>
    <mergeCell ref="H19:H24"/>
    <mergeCell ref="H31:H32"/>
    <mergeCell ref="C12:C18"/>
    <mergeCell ref="F19:F24"/>
    <mergeCell ref="G4:G5"/>
    <mergeCell ref="G31:G32"/>
    <mergeCell ref="E31:E32"/>
    <mergeCell ref="D19:D26"/>
    <mergeCell ref="G19:G26"/>
    <mergeCell ref="H39:M39"/>
    <mergeCell ref="H38:M3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9"/>
  <sheetViews>
    <sheetView showGridLines="0" zoomScale="70" zoomScaleNormal="70" workbookViewId="0">
      <selection activeCell="F33" sqref="F33"/>
    </sheetView>
  </sheetViews>
  <sheetFormatPr baseColWidth="10" defaultColWidth="10.7109375" defaultRowHeight="15" x14ac:dyDescent="0.25"/>
  <cols>
    <col min="1" max="1" width="7" style="2" customWidth="1"/>
    <col min="2" max="2" width="14.7109375" customWidth="1"/>
    <col min="3" max="3" width="12.7109375" style="4" customWidth="1"/>
    <col min="4" max="4" width="17.7109375" style="1" customWidth="1"/>
    <col min="5" max="5" width="40.28515625" style="3" customWidth="1"/>
    <col min="6" max="7" width="37.28515625" style="3" customWidth="1"/>
  </cols>
  <sheetData>
    <row r="1" spans="1:7" ht="27" thickBot="1" x14ac:dyDescent="0.35">
      <c r="A1" s="107" t="s">
        <v>135</v>
      </c>
      <c r="B1" s="12"/>
      <c r="C1" s="13"/>
      <c r="D1" s="13"/>
      <c r="E1" s="12"/>
      <c r="F1" s="12"/>
    </row>
    <row r="2" spans="1:7" ht="15.75" thickTop="1" x14ac:dyDescent="0.25"/>
    <row r="3" spans="1:7" x14ac:dyDescent="0.25">
      <c r="A3" s="101" t="s">
        <v>0</v>
      </c>
      <c r="B3" s="102" t="s">
        <v>1</v>
      </c>
      <c r="C3" s="103" t="s">
        <v>77</v>
      </c>
      <c r="D3" s="104" t="s">
        <v>5</v>
      </c>
      <c r="E3" s="105" t="s">
        <v>7</v>
      </c>
      <c r="F3" s="105" t="s">
        <v>40</v>
      </c>
      <c r="G3" s="106" t="s">
        <v>74</v>
      </c>
    </row>
    <row r="4" spans="1:7" ht="14.65" customHeight="1" x14ac:dyDescent="0.25">
      <c r="A4" s="174">
        <v>35</v>
      </c>
      <c r="B4" s="175" t="s">
        <v>2</v>
      </c>
      <c r="C4" s="8" t="s">
        <v>78</v>
      </c>
      <c r="D4" s="7" t="s">
        <v>75</v>
      </c>
      <c r="E4" s="8" t="s">
        <v>244</v>
      </c>
      <c r="F4" s="8" t="s">
        <v>76</v>
      </c>
      <c r="G4" s="8"/>
    </row>
    <row r="5" spans="1:7" ht="14.65" customHeight="1" x14ac:dyDescent="0.25">
      <c r="A5" s="174"/>
      <c r="B5" s="175"/>
      <c r="C5" s="172" t="s">
        <v>79</v>
      </c>
      <c r="D5" s="7" t="s">
        <v>14</v>
      </c>
      <c r="E5" s="37" t="s">
        <v>16</v>
      </c>
      <c r="F5" s="172" t="s">
        <v>24</v>
      </c>
      <c r="G5" s="172"/>
    </row>
    <row r="6" spans="1:7" x14ac:dyDescent="0.25">
      <c r="A6" s="174"/>
      <c r="B6" s="175"/>
      <c r="C6" s="172"/>
      <c r="D6" s="7" t="s">
        <v>15</v>
      </c>
      <c r="E6" s="37" t="s">
        <v>17</v>
      </c>
      <c r="F6" s="172"/>
      <c r="G6" s="172"/>
    </row>
    <row r="7" spans="1:7" ht="60" x14ac:dyDescent="0.25">
      <c r="A7" s="174"/>
      <c r="B7" s="175"/>
      <c r="C7" s="172"/>
      <c r="D7" s="7" t="s">
        <v>245</v>
      </c>
      <c r="E7" s="8" t="s">
        <v>246</v>
      </c>
      <c r="F7" s="172"/>
      <c r="G7" s="172"/>
    </row>
    <row r="8" spans="1:7" ht="179.25" x14ac:dyDescent="0.25">
      <c r="A8" s="174"/>
      <c r="B8" s="175"/>
      <c r="C8" s="8" t="s">
        <v>884</v>
      </c>
      <c r="D8" s="7" t="s">
        <v>18</v>
      </c>
      <c r="E8" s="20" t="s">
        <v>191</v>
      </c>
      <c r="F8" s="38" t="s">
        <v>190</v>
      </c>
      <c r="G8" s="6"/>
    </row>
    <row r="9" spans="1:7" ht="165" x14ac:dyDescent="0.25">
      <c r="A9" s="174"/>
      <c r="B9" s="175"/>
      <c r="C9" s="172" t="s">
        <v>80</v>
      </c>
      <c r="D9" s="7" t="s">
        <v>20</v>
      </c>
      <c r="E9" s="8" t="s">
        <v>247</v>
      </c>
      <c r="F9" s="172" t="s">
        <v>99</v>
      </c>
      <c r="G9" s="179"/>
    </row>
    <row r="10" spans="1:7" ht="45" x14ac:dyDescent="0.25">
      <c r="A10" s="174"/>
      <c r="B10" s="175"/>
      <c r="C10" s="172"/>
      <c r="D10" s="7" t="s">
        <v>21</v>
      </c>
      <c r="E10" s="8" t="s">
        <v>81</v>
      </c>
      <c r="F10" s="172"/>
      <c r="G10" s="179"/>
    </row>
    <row r="11" spans="1:7" ht="195" x14ac:dyDescent="0.25">
      <c r="A11" s="174"/>
      <c r="B11" s="175"/>
      <c r="C11" s="8" t="s">
        <v>82</v>
      </c>
      <c r="D11" s="7" t="s">
        <v>27</v>
      </c>
      <c r="E11" s="8" t="s">
        <v>28</v>
      </c>
      <c r="F11" s="8" t="s">
        <v>100</v>
      </c>
      <c r="G11" s="8"/>
    </row>
    <row r="12" spans="1:7" ht="30" x14ac:dyDescent="0.25">
      <c r="A12" s="174"/>
      <c r="B12" s="175"/>
      <c r="C12" s="8" t="s">
        <v>248</v>
      </c>
      <c r="D12" s="7" t="s">
        <v>53</v>
      </c>
      <c r="E12" s="37" t="s">
        <v>54</v>
      </c>
      <c r="F12" s="8" t="s">
        <v>249</v>
      </c>
      <c r="G12" s="6"/>
    </row>
    <row r="13" spans="1:7" ht="75" x14ac:dyDescent="0.25">
      <c r="A13" s="174"/>
      <c r="B13" s="175"/>
      <c r="C13" s="8" t="s">
        <v>83</v>
      </c>
      <c r="D13" s="7" t="s">
        <v>84</v>
      </c>
      <c r="E13" s="8" t="s">
        <v>250</v>
      </c>
      <c r="F13" s="8" t="s">
        <v>130</v>
      </c>
      <c r="G13" s="6"/>
    </row>
    <row r="14" spans="1:7" ht="45" x14ac:dyDescent="0.25">
      <c r="A14" s="174"/>
      <c r="B14" s="175"/>
      <c r="C14" s="8" t="s">
        <v>87</v>
      </c>
      <c r="D14" s="7" t="s">
        <v>85</v>
      </c>
      <c r="E14" s="8" t="s">
        <v>86</v>
      </c>
      <c r="F14" s="8" t="s">
        <v>131</v>
      </c>
      <c r="G14" s="6"/>
    </row>
    <row r="15" spans="1:7" ht="30" x14ac:dyDescent="0.25">
      <c r="A15" s="174"/>
      <c r="B15" s="175"/>
      <c r="C15" s="8" t="s">
        <v>88</v>
      </c>
      <c r="D15" s="7" t="s">
        <v>89</v>
      </c>
      <c r="E15" s="8" t="s">
        <v>90</v>
      </c>
      <c r="F15" s="8" t="s">
        <v>132</v>
      </c>
      <c r="G15" s="6"/>
    </row>
    <row r="16" spans="1:7" ht="60" x14ac:dyDescent="0.25">
      <c r="A16" s="174"/>
      <c r="B16" s="175"/>
      <c r="C16" s="8" t="s">
        <v>91</v>
      </c>
      <c r="D16" s="7" t="s">
        <v>92</v>
      </c>
      <c r="E16" s="8" t="s">
        <v>885</v>
      </c>
      <c r="F16" s="8" t="s">
        <v>133</v>
      </c>
      <c r="G16" s="6"/>
    </row>
    <row r="17" spans="1:11" ht="75" x14ac:dyDescent="0.25">
      <c r="A17" s="174"/>
      <c r="B17" s="175"/>
      <c r="C17" s="8" t="s">
        <v>93</v>
      </c>
      <c r="D17" s="7" t="s">
        <v>94</v>
      </c>
      <c r="E17" s="8" t="s">
        <v>251</v>
      </c>
      <c r="F17" s="8" t="s">
        <v>101</v>
      </c>
      <c r="G17" s="6"/>
    </row>
    <row r="18" spans="1:11" ht="90" x14ac:dyDescent="0.25">
      <c r="A18" s="174"/>
      <c r="B18" s="175"/>
      <c r="C18" s="8" t="s">
        <v>95</v>
      </c>
      <c r="D18" s="7" t="s">
        <v>96</v>
      </c>
      <c r="E18" s="8" t="s">
        <v>97</v>
      </c>
      <c r="F18" s="8" t="s">
        <v>107</v>
      </c>
      <c r="G18" s="6"/>
    </row>
    <row r="19" spans="1:11" ht="180" x14ac:dyDescent="0.25">
      <c r="A19" s="176">
        <v>36</v>
      </c>
      <c r="B19" s="180" t="s">
        <v>59</v>
      </c>
      <c r="C19" s="8" t="s">
        <v>108</v>
      </c>
      <c r="D19" s="7" t="s">
        <v>109</v>
      </c>
      <c r="E19" s="8" t="s">
        <v>64</v>
      </c>
      <c r="F19" s="8" t="s">
        <v>122</v>
      </c>
      <c r="G19" s="8"/>
    </row>
    <row r="20" spans="1:11" ht="75.599999999999994" customHeight="1" x14ac:dyDescent="0.25">
      <c r="A20" s="177"/>
      <c r="B20" s="181"/>
      <c r="C20" s="7" t="s">
        <v>110</v>
      </c>
      <c r="D20" s="7" t="s">
        <v>111</v>
      </c>
      <c r="E20" s="8" t="s">
        <v>112</v>
      </c>
      <c r="F20" s="7" t="s">
        <v>123</v>
      </c>
      <c r="G20" s="172"/>
    </row>
    <row r="21" spans="1:11" ht="131.1" customHeight="1" x14ac:dyDescent="0.25">
      <c r="A21" s="177"/>
      <c r="B21" s="181"/>
      <c r="C21" s="7" t="s">
        <v>113</v>
      </c>
      <c r="D21" s="7" t="s">
        <v>114</v>
      </c>
      <c r="E21" s="8" t="s">
        <v>115</v>
      </c>
      <c r="F21" s="7" t="s">
        <v>134</v>
      </c>
      <c r="G21" s="172"/>
    </row>
    <row r="22" spans="1:11" ht="59.1" customHeight="1" x14ac:dyDescent="0.25">
      <c r="A22" s="177"/>
      <c r="B22" s="181"/>
      <c r="C22" s="7" t="s">
        <v>116</v>
      </c>
      <c r="D22" s="7" t="s">
        <v>117</v>
      </c>
      <c r="E22" s="8" t="s">
        <v>118</v>
      </c>
      <c r="F22" s="7" t="s">
        <v>124</v>
      </c>
      <c r="G22" s="172"/>
    </row>
    <row r="23" spans="1:11" ht="59.1" customHeight="1" x14ac:dyDescent="0.25">
      <c r="A23" s="177"/>
      <c r="B23" s="181"/>
      <c r="C23" s="7" t="s">
        <v>125</v>
      </c>
      <c r="D23" s="7" t="s">
        <v>126</v>
      </c>
      <c r="E23" s="8" t="s">
        <v>127</v>
      </c>
      <c r="F23" s="7" t="s">
        <v>128</v>
      </c>
      <c r="G23" s="8"/>
    </row>
    <row r="24" spans="1:11" ht="123" customHeight="1" x14ac:dyDescent="0.25">
      <c r="A24" s="178"/>
      <c r="B24" s="182"/>
      <c r="C24" s="8" t="s">
        <v>252</v>
      </c>
      <c r="D24" s="7" t="s">
        <v>120</v>
      </c>
      <c r="E24" s="8" t="s">
        <v>121</v>
      </c>
      <c r="F24" s="8" t="s">
        <v>129</v>
      </c>
      <c r="G24" s="8"/>
    </row>
    <row r="26" spans="1:11" x14ac:dyDescent="0.25">
      <c r="A26" s="108"/>
      <c r="B26" s="109" t="s">
        <v>148</v>
      </c>
      <c r="C26" s="110"/>
      <c r="D26" s="111"/>
      <c r="E26" s="112"/>
      <c r="F26" s="112"/>
      <c r="G26" s="170" t="s">
        <v>72</v>
      </c>
      <c r="H26" s="170"/>
      <c r="I26" s="170"/>
      <c r="J26" s="170"/>
      <c r="K26" s="170"/>
    </row>
    <row r="27" spans="1:11" ht="73.5" customHeight="1" x14ac:dyDescent="0.25">
      <c r="A27" s="11">
        <v>35</v>
      </c>
      <c r="B27" s="171" t="str">
        <f>CONCATENATE(F4," ",F5," ",F8," ",F9," ",F11," ",F12," ",F13," ",F14," ",F15," ",F16," ", F17," ",F18)</f>
        <v>EOPERATIVA// RELACIÓN CLIENTE// GERENTE CORPORATIVO NO SE TIENE CONOCIMIENTO DE OTRA ACTIVIDAD ECONÓMICA//
GERENTE CORPORATIVO DECLARÓ CONTAR CON INGRESOS ADICIONALES POR PARTE DE ASESORÍA INDEPENDIENTE//
 NACIONALIDAD MEXICANA, FECHA DE NACIMIENTO 29AGO1970, RFC ABCD123456EFG PAIS DE NACIMIENTO MEXICO // TIPO DE PRODUCTO CRÉDITO PERSONAL// SALDO DEL CONTRATO AL 05JUL2021// ESTATUS DEL PRODUCTO CREDITO VIGENTE // ULTIMO MOVIMIENTO REALIZADO 01AGO2018 PAGO POR DOMICILIACION 10,000.00 MN // FECHA DE CONTRATACION DEL PRODUCTO 30NOV2017 // FECHA DE INICIO DE LA RELACION COMERCIAL 30NOV2017 // PARTICIPES NO TIENE PARTICIPES // OTROS EL CLIENTE REGISTRA COMO DOMICILIO CALLE JAIME TORRES NUMERO 9 INTERIOR 274 COLONIA SANTO TOMAS DELEGACION ALVARO OBREGON, CIUDAD DE MEXICO, NUMERO DE TELEFONO 5512345678 //</v>
      </c>
      <c r="C27" s="171"/>
      <c r="D27" s="171"/>
      <c r="E27" s="171"/>
      <c r="F27" s="171"/>
      <c r="G27" s="173" t="str">
        <f>CONCATENATE(G4," ",G5," ",G8," ",G9," ",G11," ",G12," ",G13," ",G14," ",G15," ",G16," ", G17," ",G18)</f>
        <v xml:space="preserve">           </v>
      </c>
      <c r="H27" s="173"/>
      <c r="I27" s="173"/>
      <c r="J27" s="173"/>
      <c r="K27" s="173"/>
    </row>
    <row r="28" spans="1:11" x14ac:dyDescent="0.25">
      <c r="A28" s="113"/>
      <c r="B28" s="109" t="s">
        <v>149</v>
      </c>
      <c r="C28" s="114"/>
      <c r="D28" s="115"/>
      <c r="E28" s="116"/>
      <c r="F28" s="116"/>
      <c r="G28" s="170" t="s">
        <v>72</v>
      </c>
      <c r="H28" s="170"/>
      <c r="I28" s="170"/>
      <c r="J28" s="170"/>
      <c r="K28" s="170"/>
    </row>
    <row r="29" spans="1:11" ht="98.1" customHeight="1" x14ac:dyDescent="0.25">
      <c r="A29" s="11">
        <v>36</v>
      </c>
      <c r="B29" s="171" t="str">
        <f>CONCATENATE(F19," ",F20," ",F21," ",F22," ",F23," ",F24)</f>
        <v>ALERTA  CLIENTE MENCIONADO EN NOTA  PERIODISTICA // ACTO CON EL QUE SE LE RELACIONA EL CLIENTE APARECIO EN UNA NOTA  PERIODISTICA EN LA CUAL SE LE INVOLUCRA COMO PRESTA  NOMBRES DEL CARTEL DE SINALOA // ESTATUS DEL SUJETO REPORTADO SEGUN LA NOTA  PERIODISTICA EL SUJETO REPORTADO  SE ENCUENTRA PROFUGO // FUENTE PERIODICO EL UNIVERSAL // FECHA DE PUBLICACION 30AGO2018 // INFORMACION ADICIONAL SE REALIZO UNA BUSQUEDA EN L I S TA S  CONSULTADAS POR LA INSTITUCION PERO NO SE ENCONTRO COINCIDENCIA CON EL NOMBRE NI EL RFC DEL CLIENTE. LA DIRECCION GENERAL EMITIO UN COMUNICADO EN LA INTRANET ALERTANDO A TOMAR MEDIDAS CAUTELARES SI SE AVISTA  AL CLIENTE //</v>
      </c>
      <c r="C29" s="171"/>
      <c r="D29" s="171"/>
      <c r="E29" s="171"/>
      <c r="F29" s="171"/>
      <c r="G29" s="172" t="str">
        <f>CONCATENATE(G19," ",G20," ",G21," ",G22," ",G23," ",G24)</f>
        <v xml:space="preserve">     </v>
      </c>
      <c r="H29" s="172"/>
      <c r="I29" s="172"/>
      <c r="J29" s="172"/>
      <c r="K29" s="172"/>
    </row>
  </sheetData>
  <mergeCells count="17">
    <mergeCell ref="A4:A18"/>
    <mergeCell ref="B4:B18"/>
    <mergeCell ref="A19:A24"/>
    <mergeCell ref="F9:F10"/>
    <mergeCell ref="G9:G10"/>
    <mergeCell ref="C5:C7"/>
    <mergeCell ref="F5:F7"/>
    <mergeCell ref="G5:G7"/>
    <mergeCell ref="C9:C10"/>
    <mergeCell ref="G20:G22"/>
    <mergeCell ref="B19:B24"/>
    <mergeCell ref="G26:K26"/>
    <mergeCell ref="B27:F27"/>
    <mergeCell ref="G28:K28"/>
    <mergeCell ref="B29:F29"/>
    <mergeCell ref="G29:K29"/>
    <mergeCell ref="G27:K2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2"/>
  <sheetViews>
    <sheetView showGridLines="0" topLeftCell="A6" zoomScale="70" zoomScaleNormal="70" workbookViewId="0">
      <selection activeCell="F11" sqref="F11"/>
    </sheetView>
  </sheetViews>
  <sheetFormatPr baseColWidth="10" defaultColWidth="10.7109375" defaultRowHeight="15" x14ac:dyDescent="0.25"/>
  <cols>
    <col min="1" max="1" width="7" style="2" customWidth="1"/>
    <col min="2" max="2" width="14.7109375" customWidth="1"/>
    <col min="3" max="3" width="12.7109375" style="4" customWidth="1"/>
    <col min="4" max="4" width="17.7109375" style="1" customWidth="1"/>
    <col min="5" max="5" width="40.28515625" customWidth="1"/>
    <col min="6" max="6" width="37.28515625" style="40" customWidth="1"/>
    <col min="7" max="7" width="37.28515625" style="3" customWidth="1"/>
  </cols>
  <sheetData>
    <row r="1" spans="1:7" ht="27" thickBot="1" x14ac:dyDescent="0.35">
      <c r="A1" s="123" t="s">
        <v>135</v>
      </c>
      <c r="B1" s="12"/>
      <c r="C1" s="13"/>
      <c r="D1" s="13"/>
      <c r="E1" s="12"/>
      <c r="F1" s="47"/>
    </row>
    <row r="2" spans="1:7" ht="15.75" thickTop="1" x14ac:dyDescent="0.25"/>
    <row r="3" spans="1:7" x14ac:dyDescent="0.25">
      <c r="A3" s="101" t="s">
        <v>0</v>
      </c>
      <c r="B3" s="120" t="s">
        <v>1</v>
      </c>
      <c r="C3" s="121" t="s">
        <v>77</v>
      </c>
      <c r="D3" s="122" t="s">
        <v>5</v>
      </c>
      <c r="E3" s="120" t="s">
        <v>7</v>
      </c>
      <c r="F3" s="105" t="s">
        <v>40</v>
      </c>
      <c r="G3" s="106" t="s">
        <v>74</v>
      </c>
    </row>
    <row r="4" spans="1:7" ht="14.65" customHeight="1" x14ac:dyDescent="0.25">
      <c r="A4" s="174">
        <v>35</v>
      </c>
      <c r="B4" s="175" t="s">
        <v>2</v>
      </c>
      <c r="C4" s="180" t="s">
        <v>78</v>
      </c>
      <c r="D4" s="7" t="s">
        <v>136</v>
      </c>
      <c r="E4" s="5" t="s">
        <v>137</v>
      </c>
      <c r="F4" s="183" t="s">
        <v>138</v>
      </c>
      <c r="G4" s="180"/>
    </row>
    <row r="5" spans="1:7" ht="14.65" customHeight="1" x14ac:dyDescent="0.25">
      <c r="A5" s="174"/>
      <c r="B5" s="175"/>
      <c r="C5" s="181"/>
      <c r="D5" s="180" t="s">
        <v>152</v>
      </c>
      <c r="E5" s="183" t="s">
        <v>153</v>
      </c>
      <c r="F5" s="184"/>
      <c r="G5" s="181"/>
    </row>
    <row r="6" spans="1:7" ht="14.65" customHeight="1" x14ac:dyDescent="0.25">
      <c r="A6" s="174"/>
      <c r="B6" s="175"/>
      <c r="C6" s="181"/>
      <c r="D6" s="181"/>
      <c r="E6" s="184"/>
      <c r="F6" s="184"/>
      <c r="G6" s="181"/>
    </row>
    <row r="7" spans="1:7" ht="14.65" customHeight="1" x14ac:dyDescent="0.25">
      <c r="A7" s="174"/>
      <c r="B7" s="175"/>
      <c r="C7" s="182"/>
      <c r="D7" s="182"/>
      <c r="E7" s="185"/>
      <c r="F7" s="185"/>
      <c r="G7" s="182"/>
    </row>
    <row r="8" spans="1:7" ht="135" x14ac:dyDescent="0.25">
      <c r="A8" s="174"/>
      <c r="B8" s="175"/>
      <c r="C8" s="6" t="s">
        <v>886</v>
      </c>
      <c r="D8" s="9" t="s">
        <v>18</v>
      </c>
      <c r="E8" s="7" t="s">
        <v>255</v>
      </c>
      <c r="F8" s="8" t="s">
        <v>98</v>
      </c>
      <c r="G8" s="6"/>
    </row>
    <row r="9" spans="1:7" ht="135" x14ac:dyDescent="0.25">
      <c r="A9" s="174"/>
      <c r="B9" s="175"/>
      <c r="C9" s="179" t="s">
        <v>139</v>
      </c>
      <c r="D9" s="9" t="s">
        <v>20</v>
      </c>
      <c r="E9" s="9" t="s">
        <v>256</v>
      </c>
      <c r="F9" s="172" t="s">
        <v>99</v>
      </c>
      <c r="G9" s="179"/>
    </row>
    <row r="10" spans="1:7" x14ac:dyDescent="0.25">
      <c r="A10" s="174"/>
      <c r="B10" s="175"/>
      <c r="C10" s="179"/>
      <c r="D10" s="9" t="s">
        <v>21</v>
      </c>
      <c r="E10" s="9" t="s">
        <v>198</v>
      </c>
      <c r="F10" s="172"/>
      <c r="G10" s="179"/>
    </row>
    <row r="11" spans="1:7" ht="195" x14ac:dyDescent="0.25">
      <c r="A11" s="174"/>
      <c r="B11" s="175"/>
      <c r="C11" s="8" t="s">
        <v>887</v>
      </c>
      <c r="D11" s="7" t="s">
        <v>27</v>
      </c>
      <c r="E11" s="8" t="s">
        <v>140</v>
      </c>
      <c r="F11" s="8" t="s">
        <v>100</v>
      </c>
      <c r="G11" s="8"/>
    </row>
    <row r="12" spans="1:7" ht="105" x14ac:dyDescent="0.25">
      <c r="A12" s="174"/>
      <c r="B12" s="175"/>
      <c r="C12" s="6" t="s">
        <v>257</v>
      </c>
      <c r="D12" s="7" t="s">
        <v>141</v>
      </c>
      <c r="E12" s="7" t="s">
        <v>90</v>
      </c>
      <c r="F12" s="8" t="s">
        <v>132</v>
      </c>
      <c r="G12" s="6"/>
    </row>
    <row r="13" spans="1:7" ht="30" x14ac:dyDescent="0.25">
      <c r="A13" s="174"/>
      <c r="B13" s="175"/>
      <c r="C13" s="8" t="s">
        <v>142</v>
      </c>
      <c r="D13" s="7" t="s">
        <v>143</v>
      </c>
      <c r="E13" s="9" t="s">
        <v>144</v>
      </c>
      <c r="F13" s="8" t="s">
        <v>258</v>
      </c>
      <c r="G13" s="6"/>
    </row>
    <row r="14" spans="1:7" ht="90" x14ac:dyDescent="0.25">
      <c r="A14" s="174"/>
      <c r="B14" s="175"/>
      <c r="C14" s="8" t="s">
        <v>259</v>
      </c>
      <c r="D14" s="7" t="s">
        <v>96</v>
      </c>
      <c r="E14" s="7" t="s">
        <v>145</v>
      </c>
      <c r="F14" s="8" t="s">
        <v>260</v>
      </c>
      <c r="G14" s="6"/>
    </row>
    <row r="15" spans="1:7" ht="180" x14ac:dyDescent="0.25">
      <c r="A15" s="176">
        <v>36</v>
      </c>
      <c r="B15" s="180" t="s">
        <v>59</v>
      </c>
      <c r="C15" s="8" t="s">
        <v>60</v>
      </c>
      <c r="D15" s="7" t="s">
        <v>109</v>
      </c>
      <c r="E15" s="9" t="s">
        <v>888</v>
      </c>
      <c r="F15" s="8" t="s">
        <v>261</v>
      </c>
      <c r="G15" s="8"/>
    </row>
    <row r="16" spans="1:7" ht="75.599999999999994" customHeight="1" x14ac:dyDescent="0.25">
      <c r="A16" s="177"/>
      <c r="B16" s="181"/>
      <c r="C16" s="7" t="s">
        <v>263</v>
      </c>
      <c r="D16" s="7" t="s">
        <v>264</v>
      </c>
      <c r="E16" s="10" t="s">
        <v>262</v>
      </c>
      <c r="F16" s="8" t="s">
        <v>123</v>
      </c>
      <c r="G16" s="8"/>
    </row>
    <row r="17" spans="1:11" ht="123" customHeight="1" x14ac:dyDescent="0.25">
      <c r="A17" s="178"/>
      <c r="B17" s="182"/>
      <c r="C17" s="8" t="s">
        <v>119</v>
      </c>
      <c r="D17" s="7" t="s">
        <v>120</v>
      </c>
      <c r="E17" s="7" t="s">
        <v>121</v>
      </c>
      <c r="F17" s="8" t="s">
        <v>129</v>
      </c>
      <c r="G17" s="8"/>
    </row>
    <row r="19" spans="1:11" x14ac:dyDescent="0.25">
      <c r="A19" s="108"/>
      <c r="B19" s="109" t="s">
        <v>150</v>
      </c>
      <c r="C19" s="110"/>
      <c r="D19" s="111"/>
      <c r="E19" s="109"/>
      <c r="F19" s="117"/>
      <c r="G19" s="170" t="s">
        <v>72</v>
      </c>
      <c r="H19" s="170"/>
      <c r="I19" s="170"/>
      <c r="J19" s="170"/>
      <c r="K19" s="170"/>
    </row>
    <row r="20" spans="1:11" ht="73.5" customHeight="1" x14ac:dyDescent="0.25">
      <c r="A20" s="11">
        <v>35</v>
      </c>
      <c r="B20" s="171" t="str">
        <f>CONCATENATE(F4," ",F8," ",F9," ",F11," ",,F12," ",F13," ",F14)</f>
        <v>TENTATIVA// ACTIVIDAD TIENDA DE ABARROTES// NACIONALIDAD MEXICANA, FECHA DE NACIMIENTO 29AGO1970, RFC ABCD123456EFG PAIS DE NACIMIENTO MEXICO // TIPO DE PRODUCTO CRÉDITO PERSONAL// FECHA DE CONTRATACION DEL PRODUCTO 30NOV2017 // LOCALIDAD ATIZAPAN DE ZARAGOZA // DOMICILIOS EL CLIENTE REGISTRA COMO DOMICILIO CALLE JAIME TORRES NUMERO 9 INTERIOR 274 COLONIA SANTO TOMAS DELEGACION ALVARO OBREGON, CIUDAD DE MEXICO, NUMERO DE TELEFONO 5512345678//</v>
      </c>
      <c r="C20" s="171"/>
      <c r="D20" s="171"/>
      <c r="E20" s="171"/>
      <c r="F20" s="171"/>
      <c r="G20" s="171" t="str">
        <f>CONCATENATE(G4," ",G8," ",G9," ",G11," ",G12," ",G13," ",G14)</f>
        <v xml:space="preserve">      </v>
      </c>
      <c r="H20" s="171"/>
      <c r="I20" s="171"/>
      <c r="J20" s="171"/>
      <c r="K20" s="171"/>
    </row>
    <row r="21" spans="1:11" x14ac:dyDescent="0.25">
      <c r="A21" s="113"/>
      <c r="B21" s="109" t="s">
        <v>151</v>
      </c>
      <c r="C21" s="114"/>
      <c r="D21" s="115"/>
      <c r="E21" s="118"/>
      <c r="F21" s="119"/>
      <c r="G21" s="170" t="s">
        <v>72</v>
      </c>
      <c r="H21" s="170"/>
      <c r="I21" s="170"/>
      <c r="J21" s="170"/>
      <c r="K21" s="170"/>
    </row>
    <row r="22" spans="1:11" ht="98.1" customHeight="1" x14ac:dyDescent="0.25">
      <c r="A22" s="11">
        <v>36</v>
      </c>
      <c r="B22" s="171" t="str">
        <f>CONCATENATE(F15," ",F16," ",F17)</f>
        <v>ALERTA CLIENTE MENCIONADO EN NOTA  PERIODISTICA // ACTO CON EL QUE SE LE RELACIONA EL CLIENTE APARECIO EN UNA NOTA  PERIODISTICA EN LA CUAL SE LE INVOLUCRA COMO PRESTA  NOMBRES DEL CARTEL DE SINALOA // INFORMACION ADICIONAL SE REALIZO UNA BUSQUEDA EN L I S TA S  CONSULTADAS POR LA INSTITUCION PERO NO SE ENCONTRO COINCIDENCIA CON EL NOMBRE NI EL RFC DEL CLIENTE. LA DIRECCION GENERAL EMITIO UN COMUNICADO EN LA INTRANET ALERTANDO A TOMAR MEDIDAS CAUTELARES SI SE AVISTA  AL CLIENTE //</v>
      </c>
      <c r="C22" s="171"/>
      <c r="D22" s="171"/>
      <c r="E22" s="171"/>
      <c r="F22" s="171"/>
      <c r="G22" s="171" t="str">
        <f>CONCATENATE(G15," ",G16," ",G17)</f>
        <v xml:space="preserve">  </v>
      </c>
      <c r="H22" s="171"/>
      <c r="I22" s="171"/>
      <c r="J22" s="171"/>
      <c r="K22" s="171"/>
    </row>
  </sheetData>
  <mergeCells count="18">
    <mergeCell ref="A4:A14"/>
    <mergeCell ref="B4:B14"/>
    <mergeCell ref="C9:C10"/>
    <mergeCell ref="F9:F10"/>
    <mergeCell ref="G9:G10"/>
    <mergeCell ref="A15:A17"/>
    <mergeCell ref="B15:B17"/>
    <mergeCell ref="G19:K19"/>
    <mergeCell ref="B20:F20"/>
    <mergeCell ref="G20:K20"/>
    <mergeCell ref="G21:K21"/>
    <mergeCell ref="B22:F22"/>
    <mergeCell ref="G22:K22"/>
    <mergeCell ref="C4:C7"/>
    <mergeCell ref="F4:F7"/>
    <mergeCell ref="G4:G7"/>
    <mergeCell ref="D5:D7"/>
    <mergeCell ref="E5:E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06C09-C0EB-49F6-8592-66F2FA6BF5B9}">
  <dimension ref="A2:P82"/>
  <sheetViews>
    <sheetView showGridLines="0" topLeftCell="A19" workbookViewId="0">
      <selection activeCell="A55" sqref="A55:C55"/>
    </sheetView>
  </sheetViews>
  <sheetFormatPr baseColWidth="10" defaultRowHeight="15" x14ac:dyDescent="0.25"/>
  <sheetData>
    <row r="2" spans="1:7" ht="23.25" x14ac:dyDescent="0.35">
      <c r="A2" s="82" t="s">
        <v>750</v>
      </c>
    </row>
    <row r="4" spans="1:7" x14ac:dyDescent="0.25">
      <c r="A4" s="73"/>
      <c r="B4" s="136" t="s">
        <v>751</v>
      </c>
      <c r="C4" s="136"/>
      <c r="D4" s="136"/>
      <c r="E4" s="136"/>
      <c r="F4" s="136"/>
      <c r="G4" s="136"/>
    </row>
    <row r="5" spans="1:7" ht="38.25" x14ac:dyDescent="0.25">
      <c r="A5" s="74" t="s">
        <v>752</v>
      </c>
      <c r="B5" s="74" t="s">
        <v>753</v>
      </c>
      <c r="C5" s="74" t="s">
        <v>754</v>
      </c>
      <c r="D5" s="130" t="s">
        <v>755</v>
      </c>
      <c r="E5" s="132"/>
      <c r="F5" s="74" t="s">
        <v>756</v>
      </c>
      <c r="G5" s="74" t="s">
        <v>757</v>
      </c>
    </row>
    <row r="6" spans="1:7" x14ac:dyDescent="0.25">
      <c r="A6" s="48" t="s">
        <v>758</v>
      </c>
      <c r="B6" s="48" t="s">
        <v>758</v>
      </c>
      <c r="C6" s="48" t="s">
        <v>758</v>
      </c>
      <c r="D6" s="140" t="s">
        <v>758</v>
      </c>
      <c r="E6" s="141"/>
      <c r="F6" s="48" t="s">
        <v>758</v>
      </c>
      <c r="G6" s="48" t="s">
        <v>758</v>
      </c>
    </row>
    <row r="7" spans="1:7" x14ac:dyDescent="0.25">
      <c r="A7" s="48" t="s">
        <v>758</v>
      </c>
      <c r="B7" s="48" t="s">
        <v>758</v>
      </c>
      <c r="C7" s="48" t="s">
        <v>758</v>
      </c>
      <c r="D7" s="140" t="s">
        <v>758</v>
      </c>
      <c r="E7" s="141"/>
      <c r="F7" s="48" t="s">
        <v>758</v>
      </c>
      <c r="G7" s="48" t="s">
        <v>758</v>
      </c>
    </row>
    <row r="8" spans="1:7" x14ac:dyDescent="0.25">
      <c r="A8" s="48" t="s">
        <v>758</v>
      </c>
      <c r="B8" s="48" t="s">
        <v>758</v>
      </c>
      <c r="C8" s="48" t="s">
        <v>758</v>
      </c>
      <c r="D8" s="140" t="s">
        <v>758</v>
      </c>
      <c r="E8" s="141"/>
      <c r="F8" s="48" t="s">
        <v>758</v>
      </c>
      <c r="G8" s="48" t="s">
        <v>758</v>
      </c>
    </row>
    <row r="9" spans="1:7" x14ac:dyDescent="0.25">
      <c r="A9" s="48" t="s">
        <v>758</v>
      </c>
      <c r="B9" s="48" t="s">
        <v>758</v>
      </c>
      <c r="C9" s="48" t="s">
        <v>758</v>
      </c>
      <c r="D9" s="140" t="s">
        <v>758</v>
      </c>
      <c r="E9" s="141"/>
      <c r="F9" s="48" t="s">
        <v>758</v>
      </c>
      <c r="G9" s="48" t="s">
        <v>758</v>
      </c>
    </row>
    <row r="10" spans="1:7" x14ac:dyDescent="0.25">
      <c r="A10" s="48" t="s">
        <v>758</v>
      </c>
      <c r="B10" s="48" t="s">
        <v>758</v>
      </c>
      <c r="C10" s="48" t="s">
        <v>758</v>
      </c>
      <c r="D10" s="140" t="s">
        <v>758</v>
      </c>
      <c r="E10" s="141"/>
      <c r="F10" s="48" t="s">
        <v>758</v>
      </c>
      <c r="G10" s="48" t="s">
        <v>758</v>
      </c>
    </row>
    <row r="11" spans="1:7" x14ac:dyDescent="0.25">
      <c r="A11" s="48" t="s">
        <v>758</v>
      </c>
      <c r="B11" s="48" t="s">
        <v>758</v>
      </c>
      <c r="C11" s="48" t="s">
        <v>758</v>
      </c>
      <c r="D11" s="140" t="s">
        <v>758</v>
      </c>
      <c r="E11" s="141"/>
      <c r="F11" s="48" t="s">
        <v>758</v>
      </c>
      <c r="G11" s="48" t="s">
        <v>758</v>
      </c>
    </row>
    <row r="12" spans="1:7" x14ac:dyDescent="0.25">
      <c r="A12" s="48" t="s">
        <v>758</v>
      </c>
      <c r="B12" s="48" t="s">
        <v>758</v>
      </c>
      <c r="C12" s="48" t="s">
        <v>758</v>
      </c>
      <c r="D12" s="140" t="s">
        <v>758</v>
      </c>
      <c r="E12" s="141"/>
      <c r="F12" s="48" t="s">
        <v>758</v>
      </c>
      <c r="G12" s="48" t="s">
        <v>758</v>
      </c>
    </row>
    <row r="13" spans="1:7" x14ac:dyDescent="0.25">
      <c r="A13" s="48" t="s">
        <v>758</v>
      </c>
      <c r="B13" s="48" t="s">
        <v>758</v>
      </c>
      <c r="C13" s="48" t="s">
        <v>758</v>
      </c>
      <c r="D13" s="140" t="s">
        <v>758</v>
      </c>
      <c r="E13" s="141"/>
      <c r="F13" s="48" t="s">
        <v>758</v>
      </c>
      <c r="G13" s="48" t="s">
        <v>758</v>
      </c>
    </row>
    <row r="14" spans="1:7" x14ac:dyDescent="0.25">
      <c r="A14" s="48" t="s">
        <v>758</v>
      </c>
      <c r="B14" s="48" t="s">
        <v>758</v>
      </c>
      <c r="C14" s="48" t="s">
        <v>758</v>
      </c>
      <c r="D14" s="140" t="s">
        <v>758</v>
      </c>
      <c r="E14" s="141"/>
      <c r="F14" s="48" t="s">
        <v>758</v>
      </c>
      <c r="G14" s="48" t="s">
        <v>758</v>
      </c>
    </row>
    <row r="15" spans="1:7" x14ac:dyDescent="0.25">
      <c r="A15" s="48" t="s">
        <v>758</v>
      </c>
      <c r="B15" s="48" t="s">
        <v>758</v>
      </c>
      <c r="C15" s="48" t="s">
        <v>758</v>
      </c>
      <c r="D15" s="140" t="s">
        <v>758</v>
      </c>
      <c r="E15" s="141"/>
      <c r="F15" s="48" t="s">
        <v>758</v>
      </c>
      <c r="G15" s="48" t="s">
        <v>758</v>
      </c>
    </row>
    <row r="17" spans="1:6" x14ac:dyDescent="0.25">
      <c r="A17" s="79" t="s">
        <v>759</v>
      </c>
      <c r="B17" s="136" t="s">
        <v>760</v>
      </c>
      <c r="C17" s="136"/>
      <c r="D17" s="136"/>
      <c r="E17" s="136"/>
      <c r="F17" s="136"/>
    </row>
    <row r="18" spans="1:6" x14ac:dyDescent="0.25">
      <c r="A18" s="130" t="s">
        <v>761</v>
      </c>
      <c r="B18" s="132"/>
      <c r="C18" s="130" t="s">
        <v>762</v>
      </c>
      <c r="D18" s="132"/>
      <c r="E18" s="130" t="s">
        <v>763</v>
      </c>
      <c r="F18" s="132"/>
    </row>
    <row r="19" spans="1:6" x14ac:dyDescent="0.25">
      <c r="A19" s="140" t="s">
        <v>758</v>
      </c>
      <c r="B19" s="141"/>
      <c r="C19" s="140" t="s">
        <v>758</v>
      </c>
      <c r="D19" s="141"/>
      <c r="E19" s="140" t="s">
        <v>764</v>
      </c>
      <c r="F19" s="141"/>
    </row>
    <row r="20" spans="1:6" x14ac:dyDescent="0.25">
      <c r="A20" s="75"/>
      <c r="B20" s="75"/>
      <c r="C20" s="75"/>
      <c r="D20" s="25"/>
      <c r="E20" s="75"/>
      <c r="F20" s="75"/>
    </row>
    <row r="21" spans="1:6" x14ac:dyDescent="0.25">
      <c r="A21" s="80" t="s">
        <v>765</v>
      </c>
      <c r="B21" s="48" t="s">
        <v>758</v>
      </c>
      <c r="C21" s="75"/>
      <c r="D21" s="75"/>
      <c r="E21" s="75"/>
      <c r="F21" s="75"/>
    </row>
    <row r="22" spans="1:6" x14ac:dyDescent="0.25">
      <c r="A22" s="80" t="s">
        <v>766</v>
      </c>
      <c r="B22" s="48" t="s">
        <v>758</v>
      </c>
      <c r="C22" s="75"/>
      <c r="D22" s="75"/>
      <c r="E22" s="75"/>
      <c r="F22" s="75"/>
    </row>
    <row r="23" spans="1:6" x14ac:dyDescent="0.25">
      <c r="A23" s="75"/>
      <c r="B23" s="75"/>
      <c r="C23" s="75"/>
      <c r="D23" s="75"/>
      <c r="E23" s="75"/>
      <c r="F23" s="75"/>
    </row>
    <row r="24" spans="1:6" x14ac:dyDescent="0.25">
      <c r="A24" s="136" t="s">
        <v>760</v>
      </c>
      <c r="B24" s="136"/>
      <c r="C24" s="136"/>
      <c r="D24" s="136"/>
      <c r="E24" s="136"/>
      <c r="F24" s="136"/>
    </row>
    <row r="25" spans="1:6" ht="25.5" x14ac:dyDescent="0.25">
      <c r="A25" s="74" t="s">
        <v>752</v>
      </c>
      <c r="B25" s="74" t="s">
        <v>753</v>
      </c>
      <c r="C25" s="74" t="s">
        <v>754</v>
      </c>
      <c r="D25" s="130" t="s">
        <v>755</v>
      </c>
      <c r="E25" s="132"/>
      <c r="F25" s="74" t="s">
        <v>756</v>
      </c>
    </row>
    <row r="26" spans="1:6" x14ac:dyDescent="0.25">
      <c r="A26" s="48" t="s">
        <v>758</v>
      </c>
      <c r="B26" s="48" t="s">
        <v>758</v>
      </c>
      <c r="C26" s="48" t="s">
        <v>758</v>
      </c>
      <c r="D26" s="140" t="s">
        <v>758</v>
      </c>
      <c r="E26" s="141"/>
      <c r="F26" s="48" t="s">
        <v>758</v>
      </c>
    </row>
    <row r="27" spans="1:6" x14ac:dyDescent="0.25">
      <c r="A27" s="48" t="s">
        <v>758</v>
      </c>
      <c r="B27" s="48" t="s">
        <v>758</v>
      </c>
      <c r="C27" s="48" t="s">
        <v>758</v>
      </c>
      <c r="D27" s="140" t="s">
        <v>758</v>
      </c>
      <c r="E27" s="141"/>
      <c r="F27" s="48" t="s">
        <v>758</v>
      </c>
    </row>
    <row r="28" spans="1:6" x14ac:dyDescent="0.25">
      <c r="A28" s="48" t="s">
        <v>758</v>
      </c>
      <c r="B28" s="48" t="s">
        <v>758</v>
      </c>
      <c r="C28" s="48" t="s">
        <v>758</v>
      </c>
      <c r="D28" s="140" t="s">
        <v>758</v>
      </c>
      <c r="E28" s="141"/>
      <c r="F28" s="48" t="s">
        <v>758</v>
      </c>
    </row>
    <row r="29" spans="1:6" x14ac:dyDescent="0.25">
      <c r="A29" s="48" t="s">
        <v>758</v>
      </c>
      <c r="B29" s="48" t="s">
        <v>758</v>
      </c>
      <c r="C29" s="48" t="s">
        <v>758</v>
      </c>
      <c r="D29" s="140" t="s">
        <v>758</v>
      </c>
      <c r="E29" s="141"/>
      <c r="F29" s="48" t="s">
        <v>758</v>
      </c>
    </row>
    <row r="30" spans="1:6" x14ac:dyDescent="0.25">
      <c r="A30" s="48" t="s">
        <v>758</v>
      </c>
      <c r="B30" s="48" t="s">
        <v>758</v>
      </c>
      <c r="C30" s="48" t="s">
        <v>758</v>
      </c>
      <c r="D30" s="140" t="s">
        <v>758</v>
      </c>
      <c r="E30" s="141"/>
      <c r="F30" s="48" t="s">
        <v>758</v>
      </c>
    </row>
    <row r="31" spans="1:6" x14ac:dyDescent="0.25">
      <c r="A31" s="48" t="s">
        <v>758</v>
      </c>
      <c r="B31" s="48" t="s">
        <v>758</v>
      </c>
      <c r="C31" s="48" t="s">
        <v>758</v>
      </c>
      <c r="D31" s="140" t="s">
        <v>758</v>
      </c>
      <c r="E31" s="141"/>
      <c r="F31" s="48" t="s">
        <v>758</v>
      </c>
    </row>
    <row r="32" spans="1:6" x14ac:dyDescent="0.25">
      <c r="A32" s="48" t="s">
        <v>758</v>
      </c>
      <c r="B32" s="48" t="s">
        <v>758</v>
      </c>
      <c r="C32" s="48" t="s">
        <v>758</v>
      </c>
      <c r="D32" s="140" t="s">
        <v>758</v>
      </c>
      <c r="E32" s="141"/>
      <c r="F32" s="48" t="s">
        <v>758</v>
      </c>
    </row>
    <row r="33" spans="1:9" x14ac:dyDescent="0.25">
      <c r="A33" s="48" t="s">
        <v>758</v>
      </c>
      <c r="B33" s="48" t="s">
        <v>758</v>
      </c>
      <c r="C33" s="48" t="s">
        <v>758</v>
      </c>
      <c r="D33" s="140" t="s">
        <v>758</v>
      </c>
      <c r="E33" s="141"/>
      <c r="F33" s="48" t="s">
        <v>758</v>
      </c>
    </row>
    <row r="34" spans="1:9" x14ac:dyDescent="0.25">
      <c r="A34" s="48" t="s">
        <v>758</v>
      </c>
      <c r="B34" s="48" t="s">
        <v>758</v>
      </c>
      <c r="C34" s="48" t="s">
        <v>758</v>
      </c>
      <c r="D34" s="140" t="s">
        <v>758</v>
      </c>
      <c r="E34" s="141"/>
      <c r="F34" s="48" t="s">
        <v>758</v>
      </c>
    </row>
    <row r="35" spans="1:9" x14ac:dyDescent="0.25">
      <c r="A35" s="48" t="s">
        <v>758</v>
      </c>
      <c r="B35" s="48" t="s">
        <v>758</v>
      </c>
      <c r="C35" s="48" t="s">
        <v>758</v>
      </c>
      <c r="D35" s="140" t="s">
        <v>758</v>
      </c>
      <c r="E35" s="141"/>
      <c r="F35" s="48" t="s">
        <v>758</v>
      </c>
    </row>
    <row r="37" spans="1:9" x14ac:dyDescent="0.25">
      <c r="A37" s="73" t="s">
        <v>767</v>
      </c>
      <c r="B37" s="133" t="s">
        <v>768</v>
      </c>
      <c r="C37" s="134"/>
      <c r="D37" s="134"/>
      <c r="E37" s="134"/>
      <c r="F37" s="134"/>
      <c r="G37" s="134"/>
      <c r="H37" s="134"/>
      <c r="I37" s="135"/>
    </row>
    <row r="38" spans="1:9" ht="153" x14ac:dyDescent="0.25">
      <c r="A38" s="73" t="s">
        <v>769</v>
      </c>
      <c r="B38" s="73" t="s">
        <v>770</v>
      </c>
      <c r="C38" s="73" t="s">
        <v>771</v>
      </c>
      <c r="D38" s="73" t="s">
        <v>772</v>
      </c>
      <c r="E38" s="73" t="s">
        <v>773</v>
      </c>
      <c r="F38" s="81" t="s">
        <v>774</v>
      </c>
      <c r="G38" s="73" t="s">
        <v>775</v>
      </c>
      <c r="H38" s="73" t="s">
        <v>776</v>
      </c>
      <c r="I38" s="73" t="s">
        <v>777</v>
      </c>
    </row>
    <row r="39" spans="1:9" ht="25.5" x14ac:dyDescent="0.25">
      <c r="A39" s="76" t="s">
        <v>271</v>
      </c>
      <c r="B39" s="48" t="s">
        <v>778</v>
      </c>
      <c r="C39" s="48" t="s">
        <v>779</v>
      </c>
      <c r="D39" s="48" t="s">
        <v>779</v>
      </c>
      <c r="E39" s="48" t="s">
        <v>779</v>
      </c>
      <c r="F39" s="48" t="s">
        <v>780</v>
      </c>
      <c r="G39" s="48" t="s">
        <v>779</v>
      </c>
      <c r="H39" s="48" t="s">
        <v>781</v>
      </c>
      <c r="I39" s="48" t="s">
        <v>758</v>
      </c>
    </row>
    <row r="40" spans="1:9" ht="25.5" x14ac:dyDescent="0.25">
      <c r="A40" s="76" t="s">
        <v>782</v>
      </c>
      <c r="B40" s="48" t="s">
        <v>778</v>
      </c>
      <c r="C40" s="48" t="s">
        <v>779</v>
      </c>
      <c r="D40" s="48" t="s">
        <v>779</v>
      </c>
      <c r="E40" s="48" t="s">
        <v>779</v>
      </c>
      <c r="F40" s="48" t="s">
        <v>780</v>
      </c>
      <c r="G40" s="48" t="s">
        <v>779</v>
      </c>
      <c r="H40" s="48" t="s">
        <v>781</v>
      </c>
      <c r="I40" s="48" t="s">
        <v>758</v>
      </c>
    </row>
    <row r="41" spans="1:9" ht="25.5" x14ac:dyDescent="0.25">
      <c r="A41" s="76" t="s">
        <v>783</v>
      </c>
      <c r="B41" s="48" t="s">
        <v>778</v>
      </c>
      <c r="C41" s="48" t="s">
        <v>779</v>
      </c>
      <c r="D41" s="48" t="s">
        <v>779</v>
      </c>
      <c r="E41" s="48" t="s">
        <v>779</v>
      </c>
      <c r="F41" s="48" t="s">
        <v>780</v>
      </c>
      <c r="G41" s="48" t="s">
        <v>779</v>
      </c>
      <c r="H41" s="48" t="s">
        <v>781</v>
      </c>
      <c r="I41" s="48" t="s">
        <v>758</v>
      </c>
    </row>
    <row r="42" spans="1:9" ht="25.5" x14ac:dyDescent="0.25">
      <c r="A42" s="76" t="s">
        <v>784</v>
      </c>
      <c r="B42" s="48" t="s">
        <v>778</v>
      </c>
      <c r="C42" s="48" t="s">
        <v>779</v>
      </c>
      <c r="D42" s="48" t="s">
        <v>779</v>
      </c>
      <c r="E42" s="48" t="s">
        <v>779</v>
      </c>
      <c r="F42" s="48" t="s">
        <v>780</v>
      </c>
      <c r="G42" s="48" t="s">
        <v>779</v>
      </c>
      <c r="H42" s="48" t="s">
        <v>781</v>
      </c>
      <c r="I42" s="48" t="s">
        <v>758</v>
      </c>
    </row>
    <row r="43" spans="1:9" ht="25.5" x14ac:dyDescent="0.25">
      <c r="A43" s="76" t="s">
        <v>785</v>
      </c>
      <c r="B43" s="48" t="s">
        <v>778</v>
      </c>
      <c r="C43" s="48" t="s">
        <v>779</v>
      </c>
      <c r="D43" s="48" t="s">
        <v>779</v>
      </c>
      <c r="E43" s="48" t="s">
        <v>779</v>
      </c>
      <c r="F43" s="48" t="s">
        <v>780</v>
      </c>
      <c r="G43" s="48" t="s">
        <v>779</v>
      </c>
      <c r="H43" s="48" t="s">
        <v>781</v>
      </c>
      <c r="I43" s="48" t="s">
        <v>758</v>
      </c>
    </row>
    <row r="44" spans="1:9" ht="25.5" x14ac:dyDescent="0.25">
      <c r="A44" s="76" t="s">
        <v>786</v>
      </c>
      <c r="B44" s="48" t="s">
        <v>778</v>
      </c>
      <c r="C44" s="48" t="s">
        <v>779</v>
      </c>
      <c r="D44" s="48" t="s">
        <v>779</v>
      </c>
      <c r="E44" s="48" t="s">
        <v>779</v>
      </c>
      <c r="F44" s="48" t="s">
        <v>780</v>
      </c>
      <c r="G44" s="48" t="s">
        <v>779</v>
      </c>
      <c r="H44" s="48" t="s">
        <v>781</v>
      </c>
      <c r="I44" s="48" t="s">
        <v>758</v>
      </c>
    </row>
    <row r="45" spans="1:9" ht="25.5" x14ac:dyDescent="0.25">
      <c r="A45" s="76" t="s">
        <v>787</v>
      </c>
      <c r="B45" s="48" t="s">
        <v>778</v>
      </c>
      <c r="C45" s="48" t="s">
        <v>779</v>
      </c>
      <c r="D45" s="48" t="s">
        <v>779</v>
      </c>
      <c r="E45" s="48" t="s">
        <v>779</v>
      </c>
      <c r="F45" s="48" t="s">
        <v>780</v>
      </c>
      <c r="G45" s="48" t="s">
        <v>779</v>
      </c>
      <c r="H45" s="48" t="s">
        <v>781</v>
      </c>
      <c r="I45" s="48" t="s">
        <v>758</v>
      </c>
    </row>
    <row r="46" spans="1:9" ht="25.5" x14ac:dyDescent="0.25">
      <c r="A46" s="76" t="s">
        <v>788</v>
      </c>
      <c r="B46" s="48" t="s">
        <v>778</v>
      </c>
      <c r="C46" s="48" t="s">
        <v>779</v>
      </c>
      <c r="D46" s="48" t="s">
        <v>779</v>
      </c>
      <c r="E46" s="48" t="s">
        <v>779</v>
      </c>
      <c r="F46" s="48" t="s">
        <v>780</v>
      </c>
      <c r="G46" s="48" t="s">
        <v>779</v>
      </c>
      <c r="H46" s="48" t="s">
        <v>781</v>
      </c>
      <c r="I46" s="48" t="s">
        <v>758</v>
      </c>
    </row>
    <row r="47" spans="1:9" ht="25.5" x14ac:dyDescent="0.25">
      <c r="A47" s="76" t="s">
        <v>789</v>
      </c>
      <c r="B47" s="48" t="s">
        <v>778</v>
      </c>
      <c r="C47" s="48" t="s">
        <v>779</v>
      </c>
      <c r="D47" s="48" t="s">
        <v>779</v>
      </c>
      <c r="E47" s="48" t="s">
        <v>779</v>
      </c>
      <c r="F47" s="48" t="s">
        <v>780</v>
      </c>
      <c r="G47" s="48" t="s">
        <v>779</v>
      </c>
      <c r="H47" s="48" t="s">
        <v>781</v>
      </c>
      <c r="I47" s="48" t="s">
        <v>758</v>
      </c>
    </row>
    <row r="48" spans="1:9" ht="25.5" x14ac:dyDescent="0.25">
      <c r="A48" s="76" t="s">
        <v>790</v>
      </c>
      <c r="B48" s="48" t="s">
        <v>778</v>
      </c>
      <c r="C48" s="48" t="s">
        <v>779</v>
      </c>
      <c r="D48" s="48" t="s">
        <v>779</v>
      </c>
      <c r="E48" s="48" t="s">
        <v>779</v>
      </c>
      <c r="F48" s="48" t="s">
        <v>780</v>
      </c>
      <c r="G48" s="48" t="s">
        <v>779</v>
      </c>
      <c r="H48" s="48" t="s">
        <v>781</v>
      </c>
      <c r="I48" s="48" t="s">
        <v>758</v>
      </c>
    </row>
    <row r="49" spans="1:16" ht="25.5" x14ac:dyDescent="0.25">
      <c r="A49" s="76" t="s">
        <v>791</v>
      </c>
      <c r="B49" s="48" t="s">
        <v>778</v>
      </c>
      <c r="C49" s="48" t="s">
        <v>779</v>
      </c>
      <c r="D49" s="48" t="s">
        <v>779</v>
      </c>
      <c r="E49" s="48" t="s">
        <v>779</v>
      </c>
      <c r="F49" s="48" t="s">
        <v>780</v>
      </c>
      <c r="G49" s="48" t="s">
        <v>779</v>
      </c>
      <c r="H49" s="48" t="s">
        <v>781</v>
      </c>
      <c r="I49" s="48" t="s">
        <v>758</v>
      </c>
    </row>
    <row r="50" spans="1:16" ht="25.5" x14ac:dyDescent="0.25">
      <c r="A50" s="76" t="s">
        <v>792</v>
      </c>
      <c r="B50" s="48" t="s">
        <v>778</v>
      </c>
      <c r="C50" s="48" t="s">
        <v>779</v>
      </c>
      <c r="D50" s="48" t="s">
        <v>779</v>
      </c>
      <c r="E50" s="48" t="s">
        <v>779</v>
      </c>
      <c r="F50" s="48" t="s">
        <v>780</v>
      </c>
      <c r="G50" s="48" t="s">
        <v>779</v>
      </c>
      <c r="H50" s="48" t="s">
        <v>781</v>
      </c>
      <c r="I50" s="48" t="s">
        <v>758</v>
      </c>
    </row>
    <row r="52" spans="1:16" x14ac:dyDescent="0.25">
      <c r="A52" s="136" t="s">
        <v>793</v>
      </c>
      <c r="B52" s="136"/>
      <c r="C52" s="136"/>
      <c r="D52" s="136"/>
      <c r="E52" s="136"/>
      <c r="F52" s="136"/>
      <c r="G52" s="136"/>
      <c r="H52" s="136"/>
      <c r="I52" s="136"/>
      <c r="J52" s="136"/>
      <c r="K52" s="136"/>
      <c r="L52" s="136"/>
      <c r="M52" s="136"/>
      <c r="N52" s="136"/>
      <c r="O52" s="136"/>
      <c r="P52" s="136"/>
    </row>
    <row r="53" spans="1:16" ht="25.5" x14ac:dyDescent="0.25">
      <c r="A53" s="137" t="s">
        <v>794</v>
      </c>
      <c r="B53" s="138"/>
      <c r="C53" s="139"/>
      <c r="D53" s="73" t="s">
        <v>795</v>
      </c>
      <c r="E53" s="73" t="s">
        <v>796</v>
      </c>
      <c r="F53" s="73" t="s">
        <v>797</v>
      </c>
      <c r="G53" s="73" t="s">
        <v>798</v>
      </c>
      <c r="H53" s="73" t="s">
        <v>799</v>
      </c>
      <c r="I53" s="73" t="s">
        <v>800</v>
      </c>
      <c r="J53" s="73" t="s">
        <v>801</v>
      </c>
      <c r="K53" s="73" t="s">
        <v>802</v>
      </c>
      <c r="L53" s="73" t="s">
        <v>803</v>
      </c>
      <c r="M53" s="73" t="s">
        <v>804</v>
      </c>
      <c r="N53" s="73" t="s">
        <v>805</v>
      </c>
      <c r="O53" s="73" t="s">
        <v>806</v>
      </c>
      <c r="P53" s="73" t="s">
        <v>807</v>
      </c>
    </row>
    <row r="54" spans="1:16" ht="85.15" customHeight="1" x14ac:dyDescent="0.25">
      <c r="A54" s="125" t="s">
        <v>808</v>
      </c>
      <c r="B54" s="126"/>
      <c r="C54" s="127"/>
      <c r="D54" s="48"/>
      <c r="E54" s="48"/>
      <c r="F54" s="48"/>
      <c r="G54" s="48"/>
      <c r="H54" s="48"/>
      <c r="I54" s="48"/>
      <c r="J54" s="48"/>
      <c r="K54" s="48"/>
      <c r="L54" s="77">
        <v>44826</v>
      </c>
      <c r="M54" s="48"/>
      <c r="N54" s="48"/>
      <c r="O54" s="48"/>
      <c r="P54" s="48" t="s">
        <v>809</v>
      </c>
    </row>
    <row r="55" spans="1:16" ht="102" customHeight="1" x14ac:dyDescent="0.25">
      <c r="A55" s="125" t="s">
        <v>810</v>
      </c>
      <c r="B55" s="126"/>
      <c r="C55" s="127"/>
      <c r="D55" s="48"/>
      <c r="E55" s="48"/>
      <c r="F55" s="48" t="s">
        <v>811</v>
      </c>
      <c r="G55" s="48"/>
      <c r="H55" s="48"/>
      <c r="I55" s="48"/>
      <c r="J55" s="48"/>
      <c r="K55" s="48"/>
      <c r="L55" s="48"/>
      <c r="M55" s="48"/>
      <c r="N55" s="48"/>
      <c r="O55" s="48"/>
      <c r="P55" s="48" t="s">
        <v>809</v>
      </c>
    </row>
    <row r="56" spans="1:16" ht="119.45" customHeight="1" x14ac:dyDescent="0.25">
      <c r="A56" s="125" t="s">
        <v>812</v>
      </c>
      <c r="B56" s="126"/>
      <c r="C56" s="127"/>
      <c r="D56" s="48"/>
      <c r="E56" s="48"/>
      <c r="F56" s="48"/>
      <c r="G56" s="48"/>
      <c r="H56" s="48"/>
      <c r="I56" s="48"/>
      <c r="J56" s="48"/>
      <c r="K56" s="48"/>
      <c r="L56" s="48"/>
      <c r="M56" s="48"/>
      <c r="N56" s="48"/>
      <c r="O56" s="48"/>
      <c r="P56" s="48" t="s">
        <v>809</v>
      </c>
    </row>
    <row r="57" spans="1:16" ht="84" customHeight="1" x14ac:dyDescent="0.25">
      <c r="A57" s="125" t="s">
        <v>813</v>
      </c>
      <c r="B57" s="126"/>
      <c r="C57" s="127"/>
      <c r="D57" s="48"/>
      <c r="E57" s="48"/>
      <c r="F57" s="48"/>
      <c r="G57" s="48"/>
      <c r="H57" s="48"/>
      <c r="I57" s="48"/>
      <c r="J57" s="48"/>
      <c r="K57" s="48"/>
      <c r="L57" s="48"/>
      <c r="M57" s="48" t="s">
        <v>814</v>
      </c>
      <c r="N57" s="48"/>
      <c r="O57" s="48"/>
      <c r="P57" s="48" t="s">
        <v>815</v>
      </c>
    </row>
    <row r="58" spans="1:16" ht="66" customHeight="1" x14ac:dyDescent="0.25">
      <c r="A58" s="125" t="s">
        <v>816</v>
      </c>
      <c r="B58" s="126"/>
      <c r="C58" s="127"/>
      <c r="D58" s="48"/>
      <c r="E58" s="48"/>
      <c r="F58" s="48"/>
      <c r="G58" s="48"/>
      <c r="H58" s="48"/>
      <c r="I58" s="48"/>
      <c r="J58" s="48"/>
      <c r="K58" s="48"/>
      <c r="L58" s="48"/>
      <c r="M58" s="48"/>
      <c r="N58" s="48"/>
      <c r="O58" s="48"/>
      <c r="P58" s="48" t="s">
        <v>809</v>
      </c>
    </row>
    <row r="59" spans="1:16" ht="106.9" customHeight="1" x14ac:dyDescent="0.25">
      <c r="A59" s="125" t="s">
        <v>817</v>
      </c>
      <c r="B59" s="126"/>
      <c r="C59" s="127"/>
      <c r="D59" s="48"/>
      <c r="E59" s="48"/>
      <c r="F59" s="48"/>
      <c r="G59" s="48"/>
      <c r="H59" s="48"/>
      <c r="I59" s="48"/>
      <c r="J59" s="48"/>
      <c r="K59" s="48"/>
      <c r="L59" s="48"/>
      <c r="M59" s="48"/>
      <c r="N59" s="48"/>
      <c r="O59" s="48"/>
      <c r="P59" s="48" t="s">
        <v>809</v>
      </c>
    </row>
    <row r="60" spans="1:16" ht="25.5" x14ac:dyDescent="0.25">
      <c r="A60" s="125" t="s">
        <v>818</v>
      </c>
      <c r="B60" s="126"/>
      <c r="C60" s="127"/>
      <c r="D60" s="48"/>
      <c r="E60" s="48"/>
      <c r="F60" s="48"/>
      <c r="G60" s="48"/>
      <c r="H60" s="48"/>
      <c r="I60" s="48"/>
      <c r="J60" s="48"/>
      <c r="K60" s="48"/>
      <c r="L60" s="48"/>
      <c r="M60" s="48"/>
      <c r="N60" s="48"/>
      <c r="O60" s="48"/>
      <c r="P60" s="48" t="s">
        <v>809</v>
      </c>
    </row>
    <row r="61" spans="1:16" ht="64.900000000000006" customHeight="1" x14ac:dyDescent="0.25">
      <c r="A61" s="125" t="s">
        <v>819</v>
      </c>
      <c r="B61" s="126"/>
      <c r="C61" s="127"/>
      <c r="D61" s="48" t="s">
        <v>820</v>
      </c>
      <c r="E61" s="48"/>
      <c r="F61" s="48"/>
      <c r="G61" s="48"/>
      <c r="H61" s="48"/>
      <c r="I61" s="48"/>
      <c r="J61" s="48" t="s">
        <v>821</v>
      </c>
      <c r="K61" s="48" t="s">
        <v>822</v>
      </c>
      <c r="L61" s="48" t="s">
        <v>823</v>
      </c>
      <c r="M61" s="48"/>
      <c r="N61" s="48"/>
      <c r="O61" s="48"/>
      <c r="P61" s="48" t="s">
        <v>809</v>
      </c>
    </row>
    <row r="62" spans="1:16" ht="25.5" x14ac:dyDescent="0.25">
      <c r="A62" s="125" t="s">
        <v>824</v>
      </c>
      <c r="B62" s="126"/>
      <c r="C62" s="127"/>
      <c r="D62" s="48"/>
      <c r="E62" s="48"/>
      <c r="F62" s="48"/>
      <c r="G62" s="48"/>
      <c r="H62" s="48"/>
      <c r="I62" s="48"/>
      <c r="J62" s="48"/>
      <c r="K62" s="48"/>
      <c r="L62" s="48"/>
      <c r="M62" s="48"/>
      <c r="N62" s="48"/>
      <c r="O62" s="48"/>
      <c r="P62" s="48" t="s">
        <v>809</v>
      </c>
    </row>
    <row r="63" spans="1:16" ht="25.5" x14ac:dyDescent="0.25">
      <c r="A63" s="125" t="s">
        <v>825</v>
      </c>
      <c r="B63" s="126"/>
      <c r="C63" s="127"/>
      <c r="D63" s="48"/>
      <c r="E63" s="48"/>
      <c r="F63" s="48"/>
      <c r="G63" s="48"/>
      <c r="H63" s="48"/>
      <c r="I63" s="48"/>
      <c r="J63" s="48"/>
      <c r="K63" s="48"/>
      <c r="L63" s="48"/>
      <c r="M63" s="48"/>
      <c r="N63" s="48"/>
      <c r="O63" s="48"/>
      <c r="P63" s="48" t="s">
        <v>809</v>
      </c>
    </row>
    <row r="64" spans="1:16" ht="25.5" x14ac:dyDescent="0.25">
      <c r="A64" s="125" t="s">
        <v>826</v>
      </c>
      <c r="B64" s="126"/>
      <c r="C64" s="127"/>
      <c r="D64" s="48"/>
      <c r="E64" s="48"/>
      <c r="F64" s="48"/>
      <c r="G64" s="48"/>
      <c r="H64" s="48"/>
      <c r="I64" s="48"/>
      <c r="J64" s="48"/>
      <c r="K64" s="48"/>
      <c r="L64" s="48"/>
      <c r="M64" s="48"/>
      <c r="N64" s="48"/>
      <c r="O64" s="48"/>
      <c r="P64" s="48" t="s">
        <v>809</v>
      </c>
    </row>
    <row r="65" spans="1:16" ht="25.5" x14ac:dyDescent="0.25">
      <c r="A65" s="125" t="s">
        <v>827</v>
      </c>
      <c r="B65" s="126"/>
      <c r="C65" s="127"/>
      <c r="D65" s="48"/>
      <c r="E65" s="48"/>
      <c r="F65" s="48"/>
      <c r="G65" s="48"/>
      <c r="H65" s="48"/>
      <c r="I65" s="48"/>
      <c r="J65" s="48"/>
      <c r="K65" s="48"/>
      <c r="L65" s="48"/>
      <c r="M65" s="48"/>
      <c r="N65" s="48"/>
      <c r="O65" s="48"/>
      <c r="P65" s="48" t="s">
        <v>809</v>
      </c>
    </row>
    <row r="66" spans="1:16" ht="25.5" x14ac:dyDescent="0.25">
      <c r="A66" s="125" t="s">
        <v>828</v>
      </c>
      <c r="B66" s="126"/>
      <c r="C66" s="127"/>
      <c r="D66" s="48"/>
      <c r="E66" s="48"/>
      <c r="F66" s="48"/>
      <c r="G66" s="48"/>
      <c r="H66" s="48"/>
      <c r="I66" s="48"/>
      <c r="J66" s="48"/>
      <c r="K66" s="48"/>
      <c r="L66" s="48"/>
      <c r="M66" s="48"/>
      <c r="N66" s="48"/>
      <c r="O66" s="48"/>
      <c r="P66" s="48" t="s">
        <v>809</v>
      </c>
    </row>
    <row r="68" spans="1:16" x14ac:dyDescent="0.25">
      <c r="A68" s="128" t="s">
        <v>829</v>
      </c>
      <c r="B68" s="129"/>
      <c r="C68" s="129"/>
      <c r="D68" s="129"/>
      <c r="E68" s="129"/>
      <c r="F68" s="129"/>
      <c r="G68" s="129"/>
      <c r="H68" s="129"/>
      <c r="I68" s="129"/>
      <c r="J68" s="129"/>
      <c r="K68" s="129"/>
      <c r="L68" s="129"/>
      <c r="M68" s="129"/>
      <c r="N68" s="129"/>
      <c r="O68" s="129"/>
      <c r="P68" s="129"/>
    </row>
    <row r="69" spans="1:16" ht="25.5" x14ac:dyDescent="0.25">
      <c r="A69" s="130" t="s">
        <v>794</v>
      </c>
      <c r="B69" s="131"/>
      <c r="C69" s="132"/>
      <c r="D69" s="74" t="s">
        <v>795</v>
      </c>
      <c r="E69" s="74" t="s">
        <v>796</v>
      </c>
      <c r="F69" s="74" t="s">
        <v>797</v>
      </c>
      <c r="G69" s="74" t="s">
        <v>798</v>
      </c>
      <c r="H69" s="74" t="s">
        <v>799</v>
      </c>
      <c r="I69" s="74" t="s">
        <v>800</v>
      </c>
      <c r="J69" s="74" t="s">
        <v>801</v>
      </c>
      <c r="K69" s="74" t="s">
        <v>802</v>
      </c>
      <c r="L69" s="74" t="s">
        <v>803</v>
      </c>
      <c r="M69" s="74" t="s">
        <v>804</v>
      </c>
      <c r="N69" s="74" t="s">
        <v>805</v>
      </c>
      <c r="O69" s="74" t="s">
        <v>806</v>
      </c>
      <c r="P69" s="78" t="s">
        <v>807</v>
      </c>
    </row>
    <row r="70" spans="1:16" ht="25.5" x14ac:dyDescent="0.25">
      <c r="A70" s="125" t="s">
        <v>830</v>
      </c>
      <c r="B70" s="126"/>
      <c r="C70" s="127"/>
      <c r="D70" s="48"/>
      <c r="E70" s="48"/>
      <c r="F70" s="48"/>
      <c r="G70" s="48"/>
      <c r="H70" s="48"/>
      <c r="I70" s="48"/>
      <c r="J70" s="48"/>
      <c r="K70" s="48"/>
      <c r="L70" s="48"/>
      <c r="M70" s="48"/>
      <c r="N70" s="48"/>
      <c r="O70" s="48"/>
      <c r="P70" s="48" t="s">
        <v>809</v>
      </c>
    </row>
    <row r="71" spans="1:16" ht="25.5" x14ac:dyDescent="0.25">
      <c r="A71" s="125" t="s">
        <v>831</v>
      </c>
      <c r="B71" s="126"/>
      <c r="C71" s="127"/>
      <c r="D71" s="48"/>
      <c r="E71" s="48"/>
      <c r="F71" s="48"/>
      <c r="G71" s="48"/>
      <c r="H71" s="48"/>
      <c r="I71" s="48"/>
      <c r="J71" s="48"/>
      <c r="K71" s="48"/>
      <c r="L71" s="48"/>
      <c r="M71" s="48"/>
      <c r="N71" s="48"/>
      <c r="O71" s="48"/>
      <c r="P71" s="48" t="s">
        <v>809</v>
      </c>
    </row>
    <row r="72" spans="1:16" ht="25.5" x14ac:dyDescent="0.25">
      <c r="A72" s="125" t="s">
        <v>832</v>
      </c>
      <c r="B72" s="126"/>
      <c r="C72" s="127"/>
      <c r="D72" s="48"/>
      <c r="E72" s="48"/>
      <c r="F72" s="48"/>
      <c r="G72" s="48"/>
      <c r="H72" s="48"/>
      <c r="I72" s="48"/>
      <c r="J72" s="48"/>
      <c r="K72" s="48"/>
      <c r="L72" s="48"/>
      <c r="M72" s="48"/>
      <c r="N72" s="48"/>
      <c r="O72" s="48"/>
      <c r="P72" s="48" t="s">
        <v>809</v>
      </c>
    </row>
    <row r="73" spans="1:16" ht="25.5" x14ac:dyDescent="0.25">
      <c r="A73" s="125" t="s">
        <v>833</v>
      </c>
      <c r="B73" s="126"/>
      <c r="C73" s="127"/>
      <c r="D73" s="48"/>
      <c r="E73" s="48"/>
      <c r="F73" s="48"/>
      <c r="G73" s="48"/>
      <c r="H73" s="48"/>
      <c r="I73" s="48"/>
      <c r="J73" s="48"/>
      <c r="K73" s="48"/>
      <c r="L73" s="48"/>
      <c r="M73" s="48"/>
      <c r="N73" s="48"/>
      <c r="O73" s="48"/>
      <c r="P73" s="48" t="s">
        <v>809</v>
      </c>
    </row>
    <row r="74" spans="1:16" ht="25.5" x14ac:dyDescent="0.25">
      <c r="A74" s="125" t="s">
        <v>834</v>
      </c>
      <c r="B74" s="126"/>
      <c r="C74" s="127"/>
      <c r="D74" s="48"/>
      <c r="E74" s="48"/>
      <c r="F74" s="48"/>
      <c r="G74" s="48"/>
      <c r="H74" s="48"/>
      <c r="I74" s="48"/>
      <c r="J74" s="48"/>
      <c r="K74" s="48"/>
      <c r="L74" s="48"/>
      <c r="M74" s="48"/>
      <c r="N74" s="48"/>
      <c r="O74" s="48"/>
      <c r="P74" s="48" t="s">
        <v>809</v>
      </c>
    </row>
    <row r="75" spans="1:16" ht="25.5" x14ac:dyDescent="0.25">
      <c r="A75" s="125" t="s">
        <v>835</v>
      </c>
      <c r="B75" s="126"/>
      <c r="C75" s="127"/>
      <c r="D75" s="48"/>
      <c r="E75" s="48"/>
      <c r="F75" s="48"/>
      <c r="G75" s="48"/>
      <c r="H75" s="48"/>
      <c r="I75" s="48"/>
      <c r="J75" s="48"/>
      <c r="K75" s="48"/>
      <c r="L75" s="48"/>
      <c r="M75" s="48"/>
      <c r="N75" s="48"/>
      <c r="O75" s="48"/>
      <c r="P75" s="48" t="s">
        <v>809</v>
      </c>
    </row>
    <row r="76" spans="1:16" ht="25.5" x14ac:dyDescent="0.25">
      <c r="A76" s="125" t="s">
        <v>836</v>
      </c>
      <c r="B76" s="126"/>
      <c r="C76" s="127"/>
      <c r="D76" s="48"/>
      <c r="E76" s="48"/>
      <c r="F76" s="48"/>
      <c r="G76" s="48"/>
      <c r="H76" s="48"/>
      <c r="I76" s="48"/>
      <c r="J76" s="48"/>
      <c r="K76" s="48"/>
      <c r="L76" s="48"/>
      <c r="M76" s="48"/>
      <c r="N76" s="48"/>
      <c r="O76" s="48"/>
      <c r="P76" s="48" t="s">
        <v>809</v>
      </c>
    </row>
    <row r="77" spans="1:16" ht="25.5" x14ac:dyDescent="0.25">
      <c r="A77" s="125" t="s">
        <v>837</v>
      </c>
      <c r="B77" s="126"/>
      <c r="C77" s="127"/>
      <c r="D77" s="48"/>
      <c r="E77" s="48"/>
      <c r="F77" s="48"/>
      <c r="G77" s="48"/>
      <c r="H77" s="48"/>
      <c r="I77" s="48"/>
      <c r="J77" s="48"/>
      <c r="K77" s="48"/>
      <c r="L77" s="48"/>
      <c r="M77" s="48"/>
      <c r="N77" s="48"/>
      <c r="O77" s="48"/>
      <c r="P77" s="48" t="s">
        <v>809</v>
      </c>
    </row>
    <row r="78" spans="1:16" ht="25.5" x14ac:dyDescent="0.25">
      <c r="A78" s="125" t="s">
        <v>838</v>
      </c>
      <c r="B78" s="126"/>
      <c r="C78" s="127"/>
      <c r="D78" s="48"/>
      <c r="E78" s="48"/>
      <c r="F78" s="48"/>
      <c r="G78" s="48"/>
      <c r="H78" s="48"/>
      <c r="I78" s="48"/>
      <c r="J78" s="48"/>
      <c r="K78" s="48"/>
      <c r="L78" s="48"/>
      <c r="M78" s="48"/>
      <c r="N78" s="48"/>
      <c r="O78" s="48"/>
      <c r="P78" s="48" t="s">
        <v>809</v>
      </c>
    </row>
    <row r="79" spans="1:16" ht="25.5" x14ac:dyDescent="0.25">
      <c r="A79" s="125" t="s">
        <v>839</v>
      </c>
      <c r="B79" s="126"/>
      <c r="C79" s="127"/>
      <c r="D79" s="48"/>
      <c r="E79" s="48"/>
      <c r="F79" s="48"/>
      <c r="G79" s="48"/>
      <c r="H79" s="48"/>
      <c r="I79" s="48"/>
      <c r="J79" s="48"/>
      <c r="K79" s="48"/>
      <c r="L79" s="48"/>
      <c r="M79" s="48"/>
      <c r="N79" s="48"/>
      <c r="O79" s="48"/>
      <c r="P79" s="48" t="s">
        <v>809</v>
      </c>
    </row>
    <row r="80" spans="1:16" ht="25.5" x14ac:dyDescent="0.25">
      <c r="A80" s="125" t="s">
        <v>840</v>
      </c>
      <c r="B80" s="126"/>
      <c r="C80" s="127"/>
      <c r="D80" s="48"/>
      <c r="E80" s="48"/>
      <c r="F80" s="48"/>
      <c r="G80" s="48"/>
      <c r="H80" s="48"/>
      <c r="I80" s="48"/>
      <c r="J80" s="48"/>
      <c r="K80" s="48"/>
      <c r="L80" s="48"/>
      <c r="M80" s="48"/>
      <c r="N80" s="48"/>
      <c r="O80" s="48"/>
      <c r="P80" s="48" t="s">
        <v>809</v>
      </c>
    </row>
    <row r="81" spans="1:16" ht="25.5" x14ac:dyDescent="0.25">
      <c r="A81" s="125" t="s">
        <v>841</v>
      </c>
      <c r="B81" s="126"/>
      <c r="C81" s="127"/>
      <c r="D81" s="48"/>
      <c r="E81" s="48"/>
      <c r="F81" s="48"/>
      <c r="G81" s="48"/>
      <c r="H81" s="48"/>
      <c r="I81" s="48"/>
      <c r="J81" s="48"/>
      <c r="K81" s="48"/>
      <c r="L81" s="48"/>
      <c r="M81" s="48"/>
      <c r="N81" s="48"/>
      <c r="O81" s="48"/>
      <c r="P81" s="48" t="s">
        <v>809</v>
      </c>
    </row>
    <row r="82" spans="1:16" ht="25.5" x14ac:dyDescent="0.25">
      <c r="A82" s="125" t="s">
        <v>842</v>
      </c>
      <c r="B82" s="126"/>
      <c r="C82" s="127"/>
      <c r="D82" s="48"/>
      <c r="E82" s="48"/>
      <c r="F82" s="48"/>
      <c r="G82" s="48"/>
      <c r="H82" s="48"/>
      <c r="I82" s="48"/>
      <c r="J82" s="48"/>
      <c r="K82" s="48"/>
      <c r="L82" s="48"/>
      <c r="M82" s="48"/>
      <c r="N82" s="48"/>
      <c r="O82" s="48"/>
      <c r="P82" s="48" t="s">
        <v>809</v>
      </c>
    </row>
  </sheetData>
  <mergeCells count="62">
    <mergeCell ref="D15:E15"/>
    <mergeCell ref="B4:G4"/>
    <mergeCell ref="D5:E5"/>
    <mergeCell ref="D6:E6"/>
    <mergeCell ref="D7:E7"/>
    <mergeCell ref="D8:E8"/>
    <mergeCell ref="D9:E9"/>
    <mergeCell ref="D10:E10"/>
    <mergeCell ref="D11:E11"/>
    <mergeCell ref="D12:E12"/>
    <mergeCell ref="D13:E13"/>
    <mergeCell ref="D14:E14"/>
    <mergeCell ref="B17:F17"/>
    <mergeCell ref="A18:B18"/>
    <mergeCell ref="C18:D18"/>
    <mergeCell ref="E18:F18"/>
    <mergeCell ref="A19:B19"/>
    <mergeCell ref="C19:D19"/>
    <mergeCell ref="E19:F19"/>
    <mergeCell ref="D35:E35"/>
    <mergeCell ref="A24:F24"/>
    <mergeCell ref="D25:E25"/>
    <mergeCell ref="D26:E26"/>
    <mergeCell ref="D27:E27"/>
    <mergeCell ref="D28:E28"/>
    <mergeCell ref="D29:E29"/>
    <mergeCell ref="D30:E30"/>
    <mergeCell ref="D31:E31"/>
    <mergeCell ref="D32:E32"/>
    <mergeCell ref="D33:E33"/>
    <mergeCell ref="D34:E34"/>
    <mergeCell ref="A62:C62"/>
    <mergeCell ref="B37:I37"/>
    <mergeCell ref="A52:P52"/>
    <mergeCell ref="A53:C53"/>
    <mergeCell ref="A54:C54"/>
    <mergeCell ref="A55:C55"/>
    <mergeCell ref="A56:C56"/>
    <mergeCell ref="A57:C57"/>
    <mergeCell ref="A58:C58"/>
    <mergeCell ref="A59:C59"/>
    <mergeCell ref="A60:C60"/>
    <mergeCell ref="A61:C61"/>
    <mergeCell ref="A75:C75"/>
    <mergeCell ref="A63:C63"/>
    <mergeCell ref="A64:C64"/>
    <mergeCell ref="A65:C65"/>
    <mergeCell ref="A66:C66"/>
    <mergeCell ref="A68:P68"/>
    <mergeCell ref="A69:C69"/>
    <mergeCell ref="A70:C70"/>
    <mergeCell ref="A71:C71"/>
    <mergeCell ref="A72:C72"/>
    <mergeCell ref="A73:C73"/>
    <mergeCell ref="A74:C74"/>
    <mergeCell ref="A82:C82"/>
    <mergeCell ref="A76:C76"/>
    <mergeCell ref="A77:C77"/>
    <mergeCell ref="A78:C78"/>
    <mergeCell ref="A79:C79"/>
    <mergeCell ref="A80:C80"/>
    <mergeCell ref="A81:C81"/>
  </mergeCells>
  <conditionalFormatting sqref="A7:C15 A6:D6 F6:G15">
    <cfRule type="containsText" dxfId="808" priority="97" operator="containsText" text="Indicar el número del acuse">
      <formula>NOT(ISERROR(SEARCH("Indicar el número del acuse",A6)))</formula>
    </cfRule>
  </conditionalFormatting>
  <conditionalFormatting sqref="B6:B10">
    <cfRule type="containsText" dxfId="807" priority="96" operator="containsText" text="Indicar fecha de la alerta según la evidencia de sistemas">
      <formula>NOT(ISERROR(SEARCH("Indicar fecha de la alerta según la evidencia de sistemas",B6)))</formula>
    </cfRule>
  </conditionalFormatting>
  <conditionalFormatting sqref="C6:C10">
    <cfRule type="containsText" dxfId="806" priority="95" operator="containsText" text="Fecha del acuse">
      <formula>NOT(ISERROR(SEARCH("Fecha del acuse",C6)))</formula>
    </cfRule>
  </conditionalFormatting>
  <conditionalFormatting sqref="D6 F6:G10">
    <cfRule type="containsText" dxfId="805" priority="94" operator="containsText" text="SI/NO">
      <formula>NOT(ISERROR(SEARCH("SI/NO",D6)))</formula>
    </cfRule>
  </conditionalFormatting>
  <conditionalFormatting sqref="A11:A15">
    <cfRule type="containsText" dxfId="804" priority="93" operator="containsText" text="Indicar el número del acuse">
      <formula>NOT(ISERROR(SEARCH("Indicar el número del acuse",A11)))</formula>
    </cfRule>
  </conditionalFormatting>
  <conditionalFormatting sqref="B11:B15">
    <cfRule type="containsText" dxfId="803" priority="92" operator="containsText" text="Indicar fecha de la alerta según la evidencia de sistemas">
      <formula>NOT(ISERROR(SEARCH("Indicar fecha de la alerta según la evidencia de sistemas",B11)))</formula>
    </cfRule>
  </conditionalFormatting>
  <conditionalFormatting sqref="C11:C15">
    <cfRule type="containsText" dxfId="802" priority="91" operator="containsText" text="Fecha del acuse">
      <formula>NOT(ISERROR(SEARCH("Fecha del acuse",C11)))</formula>
    </cfRule>
  </conditionalFormatting>
  <conditionalFormatting sqref="F11:G15">
    <cfRule type="containsText" dxfId="801" priority="90" operator="containsText" text="SI/NO">
      <formula>NOT(ISERROR(SEARCH("SI/NO",F11)))</formula>
    </cfRule>
  </conditionalFormatting>
  <conditionalFormatting sqref="A7:C15 A6:D6 F6:G15">
    <cfRule type="containsText" dxfId="800" priority="89" operator="containsText" text="Indicar">
      <formula>NOT(ISERROR(SEARCH("Indicar",A6)))</formula>
    </cfRule>
  </conditionalFormatting>
  <conditionalFormatting sqref="D7:D15">
    <cfRule type="containsText" dxfId="799" priority="88" operator="containsText" text="Indicar el número del acuse">
      <formula>NOT(ISERROR(SEARCH("Indicar el número del acuse",D7)))</formula>
    </cfRule>
  </conditionalFormatting>
  <conditionalFormatting sqref="D7:D15">
    <cfRule type="containsText" dxfId="798" priority="87" operator="containsText" text="SI/NO">
      <formula>NOT(ISERROR(SEARCH("SI/NO",D7)))</formula>
    </cfRule>
  </conditionalFormatting>
  <conditionalFormatting sqref="D7:D15">
    <cfRule type="containsText" dxfId="797" priority="86" operator="containsText" text="Indicar">
      <formula>NOT(ISERROR(SEARCH("Indicar",D7)))</formula>
    </cfRule>
  </conditionalFormatting>
  <conditionalFormatting sqref="A19">
    <cfRule type="containsText" dxfId="796" priority="85" operator="containsText" text="Indicar el número del acuse">
      <formula>NOT(ISERROR(SEARCH("Indicar el número del acuse",A19)))</formula>
    </cfRule>
  </conditionalFormatting>
  <conditionalFormatting sqref="E19">
    <cfRule type="containsText" dxfId="795" priority="84" operator="containsText" text="Indicar el número del acuse">
      <formula>NOT(ISERROR(SEARCH("Indicar el número del acuse",E19)))</formula>
    </cfRule>
  </conditionalFormatting>
  <conditionalFormatting sqref="A19:B19">
    <cfRule type="containsText" dxfId="794" priority="83" operator="containsText" text="Indicar">
      <formula>NOT(ISERROR(SEARCH("Indicar",A19)))</formula>
    </cfRule>
  </conditionalFormatting>
  <conditionalFormatting sqref="C19">
    <cfRule type="containsText" dxfId="793" priority="82" operator="containsText" text="Indicar el número del acuse">
      <formula>NOT(ISERROR(SEARCH("Indicar el número del acuse",C19)))</formula>
    </cfRule>
  </conditionalFormatting>
  <conditionalFormatting sqref="C19:D19">
    <cfRule type="containsText" dxfId="792" priority="81" operator="containsText" text="Indicar">
      <formula>NOT(ISERROR(SEARCH("Indicar",C19)))</formula>
    </cfRule>
  </conditionalFormatting>
  <conditionalFormatting sqref="E19:F19">
    <cfRule type="containsText" dxfId="791" priority="80" operator="containsText" text="Revisar que fuera presentado dentro de los 15 días del nombramiento">
      <formula>NOT(ISERROR(SEARCH("Revisar que fuera presentado dentro de los 15 días del nombramiento",E19)))</formula>
    </cfRule>
  </conditionalFormatting>
  <conditionalFormatting sqref="B21:B22">
    <cfRule type="containsText" dxfId="790" priority="79" operator="containsText" text="Indicar el número del acuse">
      <formula>NOT(ISERROR(SEARCH("Indicar el número del acuse",B21)))</formula>
    </cfRule>
  </conditionalFormatting>
  <conditionalFormatting sqref="B21:B22">
    <cfRule type="containsText" dxfId="789" priority="78" operator="containsText" text="Indicar fecha de la alerta según la evidencia de sistemas">
      <formula>NOT(ISERROR(SEARCH("Indicar fecha de la alerta según la evidencia de sistemas",B21)))</formula>
    </cfRule>
  </conditionalFormatting>
  <conditionalFormatting sqref="B21:B22">
    <cfRule type="containsText" dxfId="788" priority="77" operator="containsText" text="Indicar">
      <formula>NOT(ISERROR(SEARCH("Indicar",B21)))</formula>
    </cfRule>
  </conditionalFormatting>
  <conditionalFormatting sqref="A27:C35 A26:D26 F26:F35">
    <cfRule type="containsText" dxfId="787" priority="76" operator="containsText" text="Indicar el número del acuse">
      <formula>NOT(ISERROR(SEARCH("Indicar el número del acuse",A26)))</formula>
    </cfRule>
  </conditionalFormatting>
  <conditionalFormatting sqref="A27:C35 A26:D26 F26:F35">
    <cfRule type="containsText" dxfId="786" priority="75" operator="containsText" text="Indicar el número del acuse">
      <formula>NOT(ISERROR(SEARCH("Indicar el número del acuse",A26)))</formula>
    </cfRule>
  </conditionalFormatting>
  <conditionalFormatting sqref="A27:C35 A26:D26 F26:F35">
    <cfRule type="containsText" dxfId="785" priority="74" operator="containsText" text="Indicar">
      <formula>NOT(ISERROR(SEARCH("Indicar",A26)))</formula>
    </cfRule>
  </conditionalFormatting>
  <conditionalFormatting sqref="C27:C35">
    <cfRule type="containsText" dxfId="784" priority="73" operator="containsText" text="Indicar el número del acuse">
      <formula>NOT(ISERROR(SEARCH("Indicar el número del acuse",C27)))</formula>
    </cfRule>
  </conditionalFormatting>
  <conditionalFormatting sqref="C27:C35">
    <cfRule type="containsText" dxfId="783" priority="72" operator="containsText" text="Indicar el número del acuse">
      <formula>NOT(ISERROR(SEARCH("Indicar el número del acuse",C27)))</formula>
    </cfRule>
  </conditionalFormatting>
  <conditionalFormatting sqref="C27:C35">
    <cfRule type="containsText" dxfId="782" priority="71" operator="containsText" text="Indicar">
      <formula>NOT(ISERROR(SEARCH("Indicar",C27)))</formula>
    </cfRule>
  </conditionalFormatting>
  <conditionalFormatting sqref="D27:D35">
    <cfRule type="containsText" dxfId="781" priority="70" operator="containsText" text="Indicar el número del acuse">
      <formula>NOT(ISERROR(SEARCH("Indicar el número del acuse",D27)))</formula>
    </cfRule>
  </conditionalFormatting>
  <conditionalFormatting sqref="D27:D35">
    <cfRule type="containsText" dxfId="780" priority="69" operator="containsText" text="Indicar el número del acuse">
      <formula>NOT(ISERROR(SEARCH("Indicar el número del acuse",D27)))</formula>
    </cfRule>
  </conditionalFormatting>
  <conditionalFormatting sqref="D27:D35">
    <cfRule type="containsText" dxfId="779" priority="68" operator="containsText" text="Indicar">
      <formula>NOT(ISERROR(SEARCH("Indicar",D27)))</formula>
    </cfRule>
  </conditionalFormatting>
  <conditionalFormatting sqref="A44:A48">
    <cfRule type="containsText" dxfId="778" priority="62" operator="containsText" text="Indicar el número del acuse">
      <formula>NOT(ISERROR(SEARCH("Indicar el número del acuse",A44)))</formula>
    </cfRule>
  </conditionalFormatting>
  <conditionalFormatting sqref="A39:C39 F39 A40:A50">
    <cfRule type="containsText" dxfId="777" priority="67" operator="containsText" text="Indicar el número del acuse">
      <formula>NOT(ISERROR(SEARCH("Indicar el número del acuse",A39)))</formula>
    </cfRule>
  </conditionalFormatting>
  <conditionalFormatting sqref="B39">
    <cfRule type="containsText" dxfId="776" priority="66" operator="containsText" text="Indicar fecha de la alerta según la evidencia de sistemas">
      <formula>NOT(ISERROR(SEARCH("Indicar fecha de la alerta según la evidencia de sistemas",B39)))</formula>
    </cfRule>
  </conditionalFormatting>
  <conditionalFormatting sqref="C39">
    <cfRule type="containsText" dxfId="775" priority="65" operator="containsText" text="Fecha del acuse">
      <formula>NOT(ISERROR(SEARCH("Fecha del acuse",C39)))</formula>
    </cfRule>
  </conditionalFormatting>
  <conditionalFormatting sqref="F39">
    <cfRule type="containsText" dxfId="774" priority="64" operator="containsText" text="SI/NO">
      <formula>NOT(ISERROR(SEARCH("SI/NO",F39)))</formula>
    </cfRule>
  </conditionalFormatting>
  <conditionalFormatting sqref="A49:A50">
    <cfRule type="containsText" dxfId="773" priority="63" operator="containsText" text="Indicar el número del acuse">
      <formula>NOT(ISERROR(SEARCH("Indicar el número del acuse",A49)))</formula>
    </cfRule>
  </conditionalFormatting>
  <conditionalFormatting sqref="A39:C39 F39 A40:A50">
    <cfRule type="containsText" dxfId="772" priority="61" operator="containsText" text="Indicar">
      <formula>NOT(ISERROR(SEARCH("Indicar",A39)))</formula>
    </cfRule>
  </conditionalFormatting>
  <conditionalFormatting sqref="H39">
    <cfRule type="containsText" dxfId="771" priority="60" operator="containsText" text="Indicar el número del acuse">
      <formula>NOT(ISERROR(SEARCH("Indicar el número del acuse",H39)))</formula>
    </cfRule>
  </conditionalFormatting>
  <conditionalFormatting sqref="H39">
    <cfRule type="containsText" dxfId="770" priority="59" operator="containsText" text="SI/NO">
      <formula>NOT(ISERROR(SEARCH("SI/NO",H39)))</formula>
    </cfRule>
  </conditionalFormatting>
  <conditionalFormatting sqref="H39">
    <cfRule type="containsText" dxfId="769" priority="58" operator="containsText" text="Indicar">
      <formula>NOT(ISERROR(SEARCH("Indicar",H39)))</formula>
    </cfRule>
  </conditionalFormatting>
  <conditionalFormatting sqref="C39">
    <cfRule type="containsText" dxfId="768" priority="57" operator="containsText" text="SI/NO">
      <formula>NOT(ISERROR(SEARCH("SI/NO",C39)))</formula>
    </cfRule>
  </conditionalFormatting>
  <conditionalFormatting sqref="D39:E39">
    <cfRule type="containsText" dxfId="767" priority="56" operator="containsText" text="Indicar el número del acuse">
      <formula>NOT(ISERROR(SEARCH("Indicar el número del acuse",D39)))</formula>
    </cfRule>
  </conditionalFormatting>
  <conditionalFormatting sqref="D39:E39">
    <cfRule type="containsText" dxfId="766" priority="55" operator="containsText" text="Fecha del acuse">
      <formula>NOT(ISERROR(SEARCH("Fecha del acuse",D39)))</formula>
    </cfRule>
  </conditionalFormatting>
  <conditionalFormatting sqref="D39:E39">
    <cfRule type="containsText" dxfId="765" priority="54" operator="containsText" text="Indicar">
      <formula>NOT(ISERROR(SEARCH("Indicar",D39)))</formula>
    </cfRule>
  </conditionalFormatting>
  <conditionalFormatting sqref="D39:E39">
    <cfRule type="containsText" dxfId="764" priority="53" operator="containsText" text="SI/NO">
      <formula>NOT(ISERROR(SEARCH("SI/NO",D39)))</formula>
    </cfRule>
  </conditionalFormatting>
  <conditionalFormatting sqref="G39">
    <cfRule type="containsText" dxfId="763" priority="52" operator="containsText" text="Indicar el número del acuse">
      <formula>NOT(ISERROR(SEARCH("Indicar el número del acuse",G39)))</formula>
    </cfRule>
  </conditionalFormatting>
  <conditionalFormatting sqref="G39">
    <cfRule type="containsText" dxfId="762" priority="51" operator="containsText" text="Fecha del acuse">
      <formula>NOT(ISERROR(SEARCH("Fecha del acuse",G39)))</formula>
    </cfRule>
  </conditionalFormatting>
  <conditionalFormatting sqref="G39">
    <cfRule type="containsText" dxfId="761" priority="50" operator="containsText" text="Indicar">
      <formula>NOT(ISERROR(SEARCH("Indicar",G39)))</formula>
    </cfRule>
  </conditionalFormatting>
  <conditionalFormatting sqref="G39">
    <cfRule type="containsText" dxfId="760" priority="49" operator="containsText" text="SI/NO">
      <formula>NOT(ISERROR(SEARCH("SI/NO",G39)))</formula>
    </cfRule>
  </conditionalFormatting>
  <conditionalFormatting sqref="B40:C50 F40:F50">
    <cfRule type="containsText" dxfId="759" priority="48" operator="containsText" text="Indicar el número del acuse">
      <formula>NOT(ISERROR(SEARCH("Indicar el número del acuse",B40)))</formula>
    </cfRule>
  </conditionalFormatting>
  <conditionalFormatting sqref="B40:B50">
    <cfRule type="containsText" dxfId="758" priority="47" operator="containsText" text="Indicar fecha de la alerta según la evidencia de sistemas">
      <formula>NOT(ISERROR(SEARCH("Indicar fecha de la alerta según la evidencia de sistemas",B40)))</formula>
    </cfRule>
  </conditionalFormatting>
  <conditionalFormatting sqref="C40:C50">
    <cfRule type="containsText" dxfId="757" priority="46" operator="containsText" text="Fecha del acuse">
      <formula>NOT(ISERROR(SEARCH("Fecha del acuse",C40)))</formula>
    </cfRule>
  </conditionalFormatting>
  <conditionalFormatting sqref="F40:F50">
    <cfRule type="containsText" dxfId="756" priority="45" operator="containsText" text="SI/NO">
      <formula>NOT(ISERROR(SEARCH("SI/NO",F40)))</formula>
    </cfRule>
  </conditionalFormatting>
  <conditionalFormatting sqref="B40:C50 F40:F50">
    <cfRule type="containsText" dxfId="755" priority="44" operator="containsText" text="Indicar">
      <formula>NOT(ISERROR(SEARCH("Indicar",B40)))</formula>
    </cfRule>
  </conditionalFormatting>
  <conditionalFormatting sqref="H40:H50">
    <cfRule type="containsText" dxfId="754" priority="43" operator="containsText" text="Indicar el número del acuse">
      <formula>NOT(ISERROR(SEARCH("Indicar el número del acuse",H40)))</formula>
    </cfRule>
  </conditionalFormatting>
  <conditionalFormatting sqref="H40:H50">
    <cfRule type="containsText" dxfId="753" priority="42" operator="containsText" text="SI/NO">
      <formula>NOT(ISERROR(SEARCH("SI/NO",H40)))</formula>
    </cfRule>
  </conditionalFormatting>
  <conditionalFormatting sqref="H40:H50">
    <cfRule type="containsText" dxfId="752" priority="41" operator="containsText" text="Indicar">
      <formula>NOT(ISERROR(SEARCH("Indicar",H40)))</formula>
    </cfRule>
  </conditionalFormatting>
  <conditionalFormatting sqref="C40:C50">
    <cfRule type="containsText" dxfId="751" priority="40" operator="containsText" text="SI/NO">
      <formula>NOT(ISERROR(SEARCH("SI/NO",C40)))</formula>
    </cfRule>
  </conditionalFormatting>
  <conditionalFormatting sqref="D40:E50">
    <cfRule type="containsText" dxfId="750" priority="39" operator="containsText" text="Indicar el número del acuse">
      <formula>NOT(ISERROR(SEARCH("Indicar el número del acuse",D40)))</formula>
    </cfRule>
  </conditionalFormatting>
  <conditionalFormatting sqref="D40:E50">
    <cfRule type="containsText" dxfId="749" priority="38" operator="containsText" text="Fecha del acuse">
      <formula>NOT(ISERROR(SEARCH("Fecha del acuse",D40)))</formula>
    </cfRule>
  </conditionalFormatting>
  <conditionalFormatting sqref="D40:E50">
    <cfRule type="containsText" dxfId="748" priority="37" operator="containsText" text="Indicar">
      <formula>NOT(ISERROR(SEARCH("Indicar",D40)))</formula>
    </cfRule>
  </conditionalFormatting>
  <conditionalFormatting sqref="D40:E50">
    <cfRule type="containsText" dxfId="747" priority="36" operator="containsText" text="SI/NO">
      <formula>NOT(ISERROR(SEARCH("SI/NO",D40)))</formula>
    </cfRule>
  </conditionalFormatting>
  <conditionalFormatting sqref="G40:G50">
    <cfRule type="containsText" dxfId="746" priority="35" operator="containsText" text="Indicar el número del acuse">
      <formula>NOT(ISERROR(SEARCH("Indicar el número del acuse",G40)))</formula>
    </cfRule>
  </conditionalFormatting>
  <conditionalFormatting sqref="G40:G50">
    <cfRule type="containsText" dxfId="745" priority="34" operator="containsText" text="Fecha del acuse">
      <formula>NOT(ISERROR(SEARCH("Fecha del acuse",G40)))</formula>
    </cfRule>
  </conditionalFormatting>
  <conditionalFormatting sqref="G40:G50">
    <cfRule type="containsText" dxfId="744" priority="33" operator="containsText" text="Indicar">
      <formula>NOT(ISERROR(SEARCH("Indicar",G40)))</formula>
    </cfRule>
  </conditionalFormatting>
  <conditionalFormatting sqref="G40:G50">
    <cfRule type="containsText" dxfId="743" priority="32" operator="containsText" text="SI/NO">
      <formula>NOT(ISERROR(SEARCH("SI/NO",G40)))</formula>
    </cfRule>
  </conditionalFormatting>
  <conditionalFormatting sqref="I39:I50">
    <cfRule type="containsText" dxfId="742" priority="31" operator="containsText" text="Indicar el número del acuse">
      <formula>NOT(ISERROR(SEARCH("Indicar el número del acuse",I39)))</formula>
    </cfRule>
  </conditionalFormatting>
  <conditionalFormatting sqref="I39:I50">
    <cfRule type="containsText" dxfId="741" priority="30" operator="containsText" text="SI/NO">
      <formula>NOT(ISERROR(SEARCH("SI/NO",I39)))</formula>
    </cfRule>
  </conditionalFormatting>
  <conditionalFormatting sqref="I39:I50">
    <cfRule type="containsText" dxfId="740" priority="29" operator="containsText" text="Indicar">
      <formula>NOT(ISERROR(SEARCH("Indicar",I39)))</formula>
    </cfRule>
  </conditionalFormatting>
  <conditionalFormatting sqref="D54:P66">
    <cfRule type="containsText" dxfId="739" priority="28" operator="containsText" text="Indicar el número del acuse">
      <formula>NOT(ISERROR(SEARCH("Indicar el número del acuse",D54)))</formula>
    </cfRule>
  </conditionalFormatting>
  <conditionalFormatting sqref="D54:P66">
    <cfRule type="containsText" dxfId="738" priority="27" operator="containsText" text="Fecha del acuse">
      <formula>NOT(ISERROR(SEARCH("Fecha del acuse",D54)))</formula>
    </cfRule>
  </conditionalFormatting>
  <conditionalFormatting sqref="D54:P66">
    <cfRule type="containsText" dxfId="737" priority="26" operator="containsText" text="SI/NO">
      <formula>NOT(ISERROR(SEARCH("SI/NO",D54)))</formula>
    </cfRule>
  </conditionalFormatting>
  <conditionalFormatting sqref="D54:P66">
    <cfRule type="containsText" dxfId="736" priority="25" operator="containsText" text="Indicar">
      <formula>NOT(ISERROR(SEARCH("Indicar",D54)))</formula>
    </cfRule>
  </conditionalFormatting>
  <conditionalFormatting sqref="D56:D66">
    <cfRule type="containsText" dxfId="735" priority="19" operator="containsText" text="Fecha del acuse">
      <formula>NOT(ISERROR(SEARCH("Fecha del acuse",D56)))</formula>
    </cfRule>
  </conditionalFormatting>
  <conditionalFormatting sqref="D56:D66">
    <cfRule type="containsText" dxfId="734" priority="20" operator="containsText" text="Indicar el número del acuse">
      <formula>NOT(ISERROR(SEARCH("Indicar el número del acuse",D56)))</formula>
    </cfRule>
  </conditionalFormatting>
  <conditionalFormatting sqref="D56:D66">
    <cfRule type="containsText" dxfId="733" priority="18" operator="containsText" text="Indicar">
      <formula>NOT(ISERROR(SEARCH("Indicar",D56)))</formula>
    </cfRule>
  </conditionalFormatting>
  <conditionalFormatting sqref="D56:D66">
    <cfRule type="containsText" dxfId="732" priority="17" operator="containsText" text="SI/NO">
      <formula>NOT(ISERROR(SEARCH("SI/NO",D56)))</formula>
    </cfRule>
  </conditionalFormatting>
  <conditionalFormatting sqref="D55">
    <cfRule type="containsText" dxfId="731" priority="24" operator="containsText" text="Indicar el número del acuse">
      <formula>NOT(ISERROR(SEARCH("Indicar el número del acuse",D55)))</formula>
    </cfRule>
  </conditionalFormatting>
  <conditionalFormatting sqref="D55">
    <cfRule type="containsText" dxfId="730" priority="23" operator="containsText" text="Fecha del acuse">
      <formula>NOT(ISERROR(SEARCH("Fecha del acuse",D55)))</formula>
    </cfRule>
  </conditionalFormatting>
  <conditionalFormatting sqref="D55">
    <cfRule type="containsText" dxfId="729" priority="22" operator="containsText" text="Indicar">
      <formula>NOT(ISERROR(SEARCH("Indicar",D55)))</formula>
    </cfRule>
  </conditionalFormatting>
  <conditionalFormatting sqref="D55">
    <cfRule type="containsText" dxfId="728" priority="21" operator="containsText" text="SI/NO">
      <formula>NOT(ISERROR(SEARCH("SI/NO",D55)))</formula>
    </cfRule>
  </conditionalFormatting>
  <conditionalFormatting sqref="E54:O66">
    <cfRule type="containsText" dxfId="727" priority="16" operator="containsText" text="Indicar el número del acuse">
      <formula>NOT(ISERROR(SEARCH("Indicar el número del acuse",E54)))</formula>
    </cfRule>
  </conditionalFormatting>
  <conditionalFormatting sqref="E54:O66">
    <cfRule type="containsText" dxfId="726" priority="15" operator="containsText" text="Fecha del acuse">
      <formula>NOT(ISERROR(SEARCH("Fecha del acuse",E54)))</formula>
    </cfRule>
  </conditionalFormatting>
  <conditionalFormatting sqref="E54:O66">
    <cfRule type="containsText" dxfId="725" priority="14" operator="containsText" text="SI/NO">
      <formula>NOT(ISERROR(SEARCH("SI/NO",E54)))</formula>
    </cfRule>
  </conditionalFormatting>
  <conditionalFormatting sqref="E54:O66">
    <cfRule type="containsText" dxfId="724" priority="13" operator="containsText" text="Indicar">
      <formula>NOT(ISERROR(SEARCH("Indicar",E54)))</formula>
    </cfRule>
  </conditionalFormatting>
  <conditionalFormatting sqref="P54:P66">
    <cfRule type="containsText" dxfId="723" priority="11" operator="containsText" text="Sí/No/No aplica">
      <formula>NOT(ISERROR(SEARCH("Sí/No/No aplica",P54)))</formula>
    </cfRule>
    <cfRule type="containsText" dxfId="722" priority="12" operator="containsText" text="Sí/No/No aplica">
      <formula>NOT(ISERROR(SEARCH("Sí/No/No aplica",P54)))</formula>
    </cfRule>
  </conditionalFormatting>
  <conditionalFormatting sqref="D70:O82">
    <cfRule type="containsText" dxfId="721" priority="10" operator="containsText" text="Indicar el número del acuse">
      <formula>NOT(ISERROR(SEARCH("Indicar el número del acuse",D70)))</formula>
    </cfRule>
  </conditionalFormatting>
  <conditionalFormatting sqref="D70:O82">
    <cfRule type="containsText" dxfId="720" priority="9" operator="containsText" text="Fecha del acuse">
      <formula>NOT(ISERROR(SEARCH("Fecha del acuse",D70)))</formula>
    </cfRule>
  </conditionalFormatting>
  <conditionalFormatting sqref="D70:O82">
    <cfRule type="containsText" dxfId="719" priority="8" operator="containsText" text="SI/NO">
      <formula>NOT(ISERROR(SEARCH("SI/NO",D70)))</formula>
    </cfRule>
  </conditionalFormatting>
  <conditionalFormatting sqref="D70:O82">
    <cfRule type="containsText" dxfId="718" priority="7" operator="containsText" text="Indicar">
      <formula>NOT(ISERROR(SEARCH("Indicar",D70)))</formula>
    </cfRule>
  </conditionalFormatting>
  <conditionalFormatting sqref="P70:P82">
    <cfRule type="containsText" dxfId="717" priority="6" operator="containsText" text="Indicar el número del acuse">
      <formula>NOT(ISERROR(SEARCH("Indicar el número del acuse",P70)))</formula>
    </cfRule>
  </conditionalFormatting>
  <conditionalFormatting sqref="P70:P82">
    <cfRule type="containsText" dxfId="716" priority="5" operator="containsText" text="Fecha del acuse">
      <formula>NOT(ISERROR(SEARCH("Fecha del acuse",P70)))</formula>
    </cfRule>
  </conditionalFormatting>
  <conditionalFormatting sqref="P70:P82">
    <cfRule type="containsText" dxfId="715" priority="4" operator="containsText" text="SI/NO">
      <formula>NOT(ISERROR(SEARCH("SI/NO",P70)))</formula>
    </cfRule>
  </conditionalFormatting>
  <conditionalFormatting sqref="P70:P82">
    <cfRule type="containsText" dxfId="714" priority="3" operator="containsText" text="Indicar">
      <formula>NOT(ISERROR(SEARCH("Indicar",P70)))</formula>
    </cfRule>
  </conditionalFormatting>
  <conditionalFormatting sqref="P70:P82">
    <cfRule type="containsText" dxfId="713" priority="1" operator="containsText" text="Sí/No/No aplica">
      <formula>NOT(ISERROR(SEARCH("Sí/No/No aplica",P70)))</formula>
    </cfRule>
    <cfRule type="containsText" dxfId="712" priority="2" operator="containsText" text="Sí/No/No aplica">
      <formula>NOT(ISERROR(SEARCH("Sí/No/No aplica",P70)))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FF765-9100-44C6-8BEE-99D2BEE7BB7A}">
  <sheetPr>
    <tabColor theme="4" tint="0.59999389629810485"/>
  </sheetPr>
  <dimension ref="A1:H328"/>
  <sheetViews>
    <sheetView showGridLines="0" zoomScale="127" zoomScaleNormal="100" workbookViewId="0">
      <selection activeCell="D357" sqref="D357"/>
    </sheetView>
  </sheetViews>
  <sheetFormatPr baseColWidth="10" defaultColWidth="11.5703125" defaultRowHeight="12.75" x14ac:dyDescent="0.25"/>
  <cols>
    <col min="1" max="1" width="4.85546875" style="39" customWidth="1"/>
    <col min="2" max="2" width="7.28515625" style="46" customWidth="1"/>
    <col min="3" max="3" width="11.140625" style="46" bestFit="1" customWidth="1"/>
    <col min="4" max="4" width="39.7109375" style="39" customWidth="1"/>
    <col min="5" max="6" width="11.28515625" style="46" customWidth="1"/>
    <col min="7" max="8" width="29.5703125" style="46" customWidth="1"/>
    <col min="9" max="16384" width="11.5703125" style="39"/>
  </cols>
  <sheetData>
    <row r="1" spans="1:8" ht="17.45" customHeight="1" x14ac:dyDescent="0.25"/>
    <row r="2" spans="1:8" ht="27" customHeight="1" x14ac:dyDescent="0.25">
      <c r="B2" s="144" t="s">
        <v>265</v>
      </c>
      <c r="C2" s="144"/>
      <c r="D2" s="144"/>
      <c r="E2" s="144"/>
      <c r="F2" s="144"/>
      <c r="G2" s="144"/>
      <c r="H2" s="144"/>
    </row>
    <row r="3" spans="1:8" ht="21.6" customHeight="1" x14ac:dyDescent="0.25">
      <c r="B3" s="145" t="str">
        <f>+'[2]Bitácora General'!B4</f>
        <v>ENTIDAD</v>
      </c>
      <c r="C3" s="145"/>
      <c r="D3" s="145"/>
      <c r="E3" s="145"/>
      <c r="F3" s="145"/>
      <c r="G3" s="145"/>
      <c r="H3" s="145"/>
    </row>
    <row r="4" spans="1:8" ht="13.5" thickBot="1" x14ac:dyDescent="0.3">
      <c r="D4" s="46"/>
    </row>
    <row r="5" spans="1:8" ht="27.6" customHeight="1" thickBot="1" x14ac:dyDescent="0.3">
      <c r="A5" s="51">
        <v>1</v>
      </c>
      <c r="B5" s="142" t="s">
        <v>266</v>
      </c>
      <c r="C5" s="143"/>
      <c r="D5" s="52" t="s">
        <v>267</v>
      </c>
    </row>
    <row r="7" spans="1:8" x14ac:dyDescent="0.25">
      <c r="B7" s="73" t="s">
        <v>268</v>
      </c>
      <c r="C7" s="73" t="s">
        <v>269</v>
      </c>
      <c r="D7" s="73" t="s">
        <v>270</v>
      </c>
      <c r="E7" s="136" t="s">
        <v>749</v>
      </c>
      <c r="F7" s="136"/>
      <c r="G7" s="136"/>
      <c r="H7" s="136"/>
    </row>
    <row r="8" spans="1:8" ht="34.9" customHeight="1" x14ac:dyDescent="0.25">
      <c r="B8" s="53">
        <v>1</v>
      </c>
      <c r="C8" s="53" t="s">
        <v>272</v>
      </c>
      <c r="D8" s="53" t="s">
        <v>273</v>
      </c>
      <c r="E8" s="53" t="s">
        <v>274</v>
      </c>
      <c r="F8" s="53" t="s">
        <v>275</v>
      </c>
      <c r="G8" s="54" t="s">
        <v>276</v>
      </c>
      <c r="H8" s="55" t="s">
        <v>277</v>
      </c>
    </row>
    <row r="9" spans="1:8" ht="43.9" customHeight="1" x14ac:dyDescent="0.25">
      <c r="B9" s="56">
        <v>1.1000000000000001</v>
      </c>
      <c r="C9" s="56" t="s">
        <v>278</v>
      </c>
      <c r="D9" s="21" t="s">
        <v>279</v>
      </c>
      <c r="E9" s="48"/>
      <c r="F9" s="48"/>
      <c r="G9" s="57"/>
      <c r="H9" s="58"/>
    </row>
    <row r="10" spans="1:8" ht="51" x14ac:dyDescent="0.25">
      <c r="B10" s="56">
        <v>1.2</v>
      </c>
      <c r="C10" s="56" t="s">
        <v>280</v>
      </c>
      <c r="D10" s="21" t="s">
        <v>281</v>
      </c>
      <c r="E10" s="48"/>
      <c r="F10" s="48"/>
      <c r="G10" s="57"/>
      <c r="H10" s="58"/>
    </row>
    <row r="11" spans="1:8" ht="51" x14ac:dyDescent="0.25">
      <c r="B11" s="56">
        <v>1.3</v>
      </c>
      <c r="C11" s="56" t="s">
        <v>280</v>
      </c>
      <c r="D11" s="21" t="s">
        <v>282</v>
      </c>
      <c r="E11" s="48"/>
      <c r="F11" s="48"/>
      <c r="G11" s="57"/>
      <c r="H11" s="58"/>
    </row>
    <row r="12" spans="1:8" ht="51" x14ac:dyDescent="0.25">
      <c r="B12" s="56">
        <v>1.4</v>
      </c>
      <c r="C12" s="56" t="s">
        <v>283</v>
      </c>
      <c r="D12" s="21" t="s">
        <v>284</v>
      </c>
      <c r="E12" s="48"/>
      <c r="F12" s="48"/>
      <c r="G12" s="57"/>
      <c r="H12" s="58"/>
    </row>
    <row r="13" spans="1:8" ht="38.25" x14ac:dyDescent="0.25">
      <c r="B13" s="56">
        <v>1.5</v>
      </c>
      <c r="C13" s="56" t="s">
        <v>285</v>
      </c>
      <c r="D13" s="21" t="s">
        <v>286</v>
      </c>
      <c r="E13" s="48"/>
      <c r="F13" s="48"/>
      <c r="G13" s="57"/>
      <c r="H13" s="58"/>
    </row>
    <row r="14" spans="1:8" ht="38.25" x14ac:dyDescent="0.25">
      <c r="B14" s="56">
        <v>1.6</v>
      </c>
      <c r="C14" s="56" t="s">
        <v>285</v>
      </c>
      <c r="D14" s="21" t="s">
        <v>287</v>
      </c>
      <c r="E14" s="48"/>
      <c r="F14" s="48"/>
      <c r="G14" s="57"/>
      <c r="H14" s="58"/>
    </row>
    <row r="15" spans="1:8" ht="63.75" x14ac:dyDescent="0.25">
      <c r="B15" s="56">
        <v>1.7</v>
      </c>
      <c r="C15" s="56" t="s">
        <v>278</v>
      </c>
      <c r="D15" s="21" t="s">
        <v>288</v>
      </c>
      <c r="E15" s="48"/>
      <c r="F15" s="48"/>
      <c r="G15" s="57"/>
      <c r="H15" s="58"/>
    </row>
    <row r="16" spans="1:8" ht="51" x14ac:dyDescent="0.25">
      <c r="B16" s="56">
        <v>1.8</v>
      </c>
      <c r="C16" s="56" t="s">
        <v>285</v>
      </c>
      <c r="D16" s="21" t="s">
        <v>289</v>
      </c>
      <c r="E16" s="48"/>
      <c r="F16" s="48"/>
      <c r="G16" s="57"/>
      <c r="H16" s="58"/>
    </row>
    <row r="17" spans="1:8" ht="25.5" x14ac:dyDescent="0.25">
      <c r="B17" s="56">
        <v>1.9</v>
      </c>
      <c r="C17" s="56" t="s">
        <v>290</v>
      </c>
      <c r="D17" s="21" t="s">
        <v>291</v>
      </c>
      <c r="E17" s="48"/>
      <c r="F17" s="48"/>
      <c r="G17" s="57"/>
      <c r="H17" s="58"/>
    </row>
    <row r="18" spans="1:8" ht="13.5" thickBot="1" x14ac:dyDescent="0.3"/>
    <row r="19" spans="1:8" ht="24.6" customHeight="1" thickBot="1" x14ac:dyDescent="0.3">
      <c r="A19" s="51">
        <v>2</v>
      </c>
      <c r="B19" s="142" t="s">
        <v>266</v>
      </c>
      <c r="C19" s="143"/>
      <c r="D19" s="52" t="s">
        <v>292</v>
      </c>
    </row>
    <row r="21" spans="1:8" ht="29.45" customHeight="1" x14ac:dyDescent="0.25">
      <c r="B21" s="73" t="s">
        <v>268</v>
      </c>
      <c r="C21" s="73" t="s">
        <v>269</v>
      </c>
      <c r="D21" s="73" t="s">
        <v>270</v>
      </c>
      <c r="E21" s="136" t="s">
        <v>749</v>
      </c>
      <c r="F21" s="136"/>
      <c r="G21" s="136"/>
      <c r="H21" s="136"/>
    </row>
    <row r="22" spans="1:8" ht="45" x14ac:dyDescent="0.25">
      <c r="B22" s="59">
        <v>2.1</v>
      </c>
      <c r="C22" s="59" t="s">
        <v>272</v>
      </c>
      <c r="D22" s="59" t="s">
        <v>293</v>
      </c>
      <c r="E22" s="59" t="s">
        <v>274</v>
      </c>
      <c r="F22" s="59" t="s">
        <v>275</v>
      </c>
      <c r="G22" s="54" t="s">
        <v>276</v>
      </c>
      <c r="H22" s="55" t="s">
        <v>277</v>
      </c>
    </row>
    <row r="23" spans="1:8" ht="140.25" x14ac:dyDescent="0.25">
      <c r="B23" s="60" t="s">
        <v>294</v>
      </c>
      <c r="C23" s="56" t="s">
        <v>295</v>
      </c>
      <c r="D23" s="21" t="s">
        <v>296</v>
      </c>
      <c r="E23" s="48"/>
      <c r="F23" s="48"/>
      <c r="G23" s="57"/>
      <c r="H23" s="58"/>
    </row>
    <row r="24" spans="1:8" ht="102" x14ac:dyDescent="0.25">
      <c r="B24" s="60" t="s">
        <v>297</v>
      </c>
      <c r="C24" s="56" t="s">
        <v>295</v>
      </c>
      <c r="D24" s="21" t="s">
        <v>298</v>
      </c>
      <c r="E24" s="48"/>
      <c r="F24" s="48"/>
      <c r="G24" s="57"/>
      <c r="H24" s="58"/>
    </row>
    <row r="26" spans="1:8" ht="29.45" customHeight="1" thickBot="1" x14ac:dyDescent="0.3">
      <c r="B26" s="73" t="s">
        <v>268</v>
      </c>
      <c r="C26" s="73" t="s">
        <v>269</v>
      </c>
      <c r="D26" s="73" t="s">
        <v>270</v>
      </c>
      <c r="E26" s="136" t="s">
        <v>749</v>
      </c>
      <c r="F26" s="136"/>
      <c r="G26" s="136"/>
      <c r="H26" s="136"/>
    </row>
    <row r="27" spans="1:8" ht="30.75" thickBot="1" x14ac:dyDescent="0.3">
      <c r="B27" s="61">
        <v>2.2000000000000002</v>
      </c>
      <c r="C27" s="61" t="s">
        <v>272</v>
      </c>
      <c r="D27" s="61" t="s">
        <v>299</v>
      </c>
      <c r="E27" s="59" t="s">
        <v>274</v>
      </c>
      <c r="F27" s="59" t="s">
        <v>275</v>
      </c>
      <c r="G27" s="62" t="s">
        <v>276</v>
      </c>
      <c r="H27" s="63" t="s">
        <v>277</v>
      </c>
    </row>
    <row r="28" spans="1:8" ht="76.5" x14ac:dyDescent="0.25">
      <c r="B28" s="60" t="s">
        <v>300</v>
      </c>
      <c r="C28" s="56" t="s">
        <v>295</v>
      </c>
      <c r="D28" s="21" t="s">
        <v>301</v>
      </c>
      <c r="E28" s="64"/>
      <c r="F28" s="65"/>
      <c r="G28" s="66"/>
      <c r="H28" s="67"/>
    </row>
    <row r="30" spans="1:8" ht="29.45" customHeight="1" x14ac:dyDescent="0.25">
      <c r="B30" s="73" t="s">
        <v>268</v>
      </c>
      <c r="C30" s="73" t="s">
        <v>269</v>
      </c>
      <c r="D30" s="73" t="s">
        <v>270</v>
      </c>
      <c r="E30" s="136" t="s">
        <v>749</v>
      </c>
      <c r="F30" s="136"/>
      <c r="G30" s="136"/>
      <c r="H30" s="136"/>
    </row>
    <row r="31" spans="1:8" ht="45" x14ac:dyDescent="0.25">
      <c r="B31" s="59">
        <v>2.2999999999999998</v>
      </c>
      <c r="C31" s="59" t="s">
        <v>272</v>
      </c>
      <c r="D31" s="59" t="s">
        <v>302</v>
      </c>
      <c r="E31" s="59" t="s">
        <v>274</v>
      </c>
      <c r="F31" s="59" t="s">
        <v>275</v>
      </c>
      <c r="G31" s="54" t="s">
        <v>276</v>
      </c>
      <c r="H31" s="55" t="s">
        <v>277</v>
      </c>
    </row>
    <row r="32" spans="1:8" ht="114.75" x14ac:dyDescent="0.25">
      <c r="B32" s="60" t="s">
        <v>303</v>
      </c>
      <c r="C32" s="56" t="s">
        <v>304</v>
      </c>
      <c r="D32" s="21" t="s">
        <v>305</v>
      </c>
      <c r="E32" s="48"/>
      <c r="F32" s="48"/>
      <c r="G32" s="57"/>
      <c r="H32" s="58"/>
    </row>
    <row r="33" spans="1:8" ht="63.75" x14ac:dyDescent="0.25">
      <c r="B33" s="60" t="s">
        <v>306</v>
      </c>
      <c r="C33" s="56" t="s">
        <v>304</v>
      </c>
      <c r="D33" s="21" t="s">
        <v>307</v>
      </c>
      <c r="E33" s="48"/>
      <c r="F33" s="48"/>
      <c r="G33" s="57"/>
      <c r="H33" s="58"/>
    </row>
    <row r="34" spans="1:8" ht="13.5" thickBot="1" x14ac:dyDescent="0.3"/>
    <row r="35" spans="1:8" s="69" customFormat="1" ht="24.6" customHeight="1" thickBot="1" x14ac:dyDescent="0.3">
      <c r="A35" s="51">
        <v>3</v>
      </c>
      <c r="B35" s="142" t="s">
        <v>266</v>
      </c>
      <c r="C35" s="143"/>
      <c r="D35" s="68" t="s">
        <v>308</v>
      </c>
      <c r="F35" s="70"/>
      <c r="G35" s="70"/>
      <c r="H35" s="70"/>
    </row>
    <row r="37" spans="1:8" ht="29.45" customHeight="1" x14ac:dyDescent="0.25">
      <c r="B37" s="73" t="s">
        <v>268</v>
      </c>
      <c r="C37" s="73" t="s">
        <v>269</v>
      </c>
      <c r="D37" s="73" t="s">
        <v>270</v>
      </c>
      <c r="E37" s="136" t="s">
        <v>749</v>
      </c>
      <c r="F37" s="136"/>
      <c r="G37" s="136"/>
      <c r="H37" s="136"/>
    </row>
    <row r="38" spans="1:8" ht="30" x14ac:dyDescent="0.25">
      <c r="B38" s="59">
        <v>3.1</v>
      </c>
      <c r="C38" s="59" t="s">
        <v>272</v>
      </c>
      <c r="D38" s="59" t="s">
        <v>309</v>
      </c>
      <c r="E38" s="59" t="s">
        <v>274</v>
      </c>
      <c r="F38" s="59" t="s">
        <v>275</v>
      </c>
      <c r="G38" s="54" t="s">
        <v>276</v>
      </c>
      <c r="H38" s="55" t="s">
        <v>277</v>
      </c>
    </row>
    <row r="39" spans="1:8" ht="140.25" x14ac:dyDescent="0.25">
      <c r="B39" s="60" t="s">
        <v>310</v>
      </c>
      <c r="C39" s="56" t="s">
        <v>311</v>
      </c>
      <c r="D39" s="21" t="s">
        <v>312</v>
      </c>
      <c r="E39" s="48"/>
      <c r="F39" s="48"/>
      <c r="G39" s="57"/>
      <c r="H39" s="58"/>
    </row>
    <row r="40" spans="1:8" ht="140.25" x14ac:dyDescent="0.25">
      <c r="B40" s="60" t="s">
        <v>313</v>
      </c>
      <c r="C40" s="56" t="s">
        <v>311</v>
      </c>
      <c r="D40" s="21" t="s">
        <v>314</v>
      </c>
      <c r="E40" s="48"/>
      <c r="F40" s="48"/>
      <c r="G40" s="57"/>
      <c r="H40" s="58"/>
    </row>
    <row r="41" spans="1:8" ht="114.75" x14ac:dyDescent="0.25">
      <c r="B41" s="60" t="s">
        <v>315</v>
      </c>
      <c r="C41" s="56" t="s">
        <v>311</v>
      </c>
      <c r="D41" s="21" t="s">
        <v>316</v>
      </c>
      <c r="E41" s="48"/>
      <c r="F41" s="48"/>
      <c r="G41" s="57"/>
      <c r="H41" s="58"/>
    </row>
    <row r="43" spans="1:8" ht="28.9" customHeight="1" x14ac:dyDescent="0.25">
      <c r="B43" s="73" t="s">
        <v>268</v>
      </c>
      <c r="C43" s="73" t="s">
        <v>269</v>
      </c>
      <c r="D43" s="73" t="s">
        <v>270</v>
      </c>
      <c r="E43" s="136" t="s">
        <v>749</v>
      </c>
      <c r="F43" s="136"/>
      <c r="G43" s="136"/>
      <c r="H43" s="136"/>
    </row>
    <row r="44" spans="1:8" ht="30" x14ac:dyDescent="0.25">
      <c r="B44" s="59">
        <v>3.2</v>
      </c>
      <c r="C44" s="59" t="s">
        <v>272</v>
      </c>
      <c r="D44" s="59" t="s">
        <v>317</v>
      </c>
      <c r="E44" s="59" t="s">
        <v>274</v>
      </c>
      <c r="F44" s="59" t="s">
        <v>275</v>
      </c>
      <c r="G44" s="54" t="s">
        <v>276</v>
      </c>
      <c r="H44" s="55" t="s">
        <v>277</v>
      </c>
    </row>
    <row r="45" spans="1:8" ht="25.5" x14ac:dyDescent="0.25">
      <c r="B45" s="60" t="s">
        <v>318</v>
      </c>
      <c r="C45" s="56" t="s">
        <v>319</v>
      </c>
      <c r="D45" s="21" t="s">
        <v>320</v>
      </c>
      <c r="E45" s="48"/>
      <c r="F45" s="48"/>
      <c r="G45" s="57"/>
      <c r="H45" s="58"/>
    </row>
    <row r="46" spans="1:8" ht="63.75" x14ac:dyDescent="0.25">
      <c r="B46" s="60" t="s">
        <v>321</v>
      </c>
      <c r="C46" s="56" t="s">
        <v>319</v>
      </c>
      <c r="D46" s="21" t="s">
        <v>322</v>
      </c>
      <c r="E46" s="48"/>
      <c r="F46" s="48"/>
      <c r="G46" s="57"/>
      <c r="H46" s="58"/>
    </row>
    <row r="47" spans="1:8" ht="102" x14ac:dyDescent="0.25">
      <c r="B47" s="60" t="s">
        <v>323</v>
      </c>
      <c r="C47" s="56" t="s">
        <v>324</v>
      </c>
      <c r="D47" s="21" t="s">
        <v>325</v>
      </c>
      <c r="E47" s="48"/>
      <c r="F47" s="48"/>
      <c r="G47" s="57"/>
      <c r="H47" s="58"/>
    </row>
    <row r="48" spans="1:8" ht="63.75" x14ac:dyDescent="0.25">
      <c r="B48" s="60" t="s">
        <v>326</v>
      </c>
      <c r="C48" s="56" t="s">
        <v>324</v>
      </c>
      <c r="D48" s="21" t="s">
        <v>327</v>
      </c>
      <c r="E48" s="48"/>
      <c r="F48" s="48"/>
      <c r="G48" s="57"/>
      <c r="H48" s="58"/>
    </row>
    <row r="49" spans="2:8" ht="76.5" x14ac:dyDescent="0.25">
      <c r="B49" s="60" t="s">
        <v>328</v>
      </c>
      <c r="C49" s="56" t="s">
        <v>324</v>
      </c>
      <c r="D49" s="21" t="s">
        <v>329</v>
      </c>
      <c r="E49" s="48"/>
      <c r="F49" s="48"/>
      <c r="G49" s="57"/>
      <c r="H49" s="58"/>
    </row>
    <row r="50" spans="2:8" ht="89.25" x14ac:dyDescent="0.25">
      <c r="B50" s="60" t="s">
        <v>330</v>
      </c>
      <c r="C50" s="56" t="s">
        <v>331</v>
      </c>
      <c r="D50" s="21" t="s">
        <v>332</v>
      </c>
      <c r="E50" s="48"/>
      <c r="F50" s="48"/>
      <c r="G50" s="57"/>
      <c r="H50" s="58"/>
    </row>
    <row r="51" spans="2:8" ht="76.5" x14ac:dyDescent="0.25">
      <c r="B51" s="60" t="s">
        <v>333</v>
      </c>
      <c r="C51" s="56" t="s">
        <v>334</v>
      </c>
      <c r="D51" s="21" t="s">
        <v>335</v>
      </c>
      <c r="E51" s="48"/>
      <c r="F51" s="48"/>
      <c r="G51" s="57"/>
      <c r="H51" s="58"/>
    </row>
    <row r="53" spans="2:8" ht="24" customHeight="1" x14ac:dyDescent="0.25">
      <c r="B53" s="73" t="s">
        <v>268</v>
      </c>
      <c r="C53" s="73" t="s">
        <v>269</v>
      </c>
      <c r="D53" s="73" t="s">
        <v>270</v>
      </c>
      <c r="E53" s="136" t="s">
        <v>749</v>
      </c>
      <c r="F53" s="136"/>
      <c r="G53" s="136"/>
      <c r="H53" s="136"/>
    </row>
    <row r="54" spans="2:8" ht="45" x14ac:dyDescent="0.25">
      <c r="B54" s="59">
        <v>3.3</v>
      </c>
      <c r="C54" s="59" t="s">
        <v>272</v>
      </c>
      <c r="D54" s="59" t="s">
        <v>336</v>
      </c>
      <c r="E54" s="59" t="s">
        <v>274</v>
      </c>
      <c r="F54" s="59" t="s">
        <v>275</v>
      </c>
      <c r="G54" s="54" t="s">
        <v>276</v>
      </c>
      <c r="H54" s="55" t="s">
        <v>277</v>
      </c>
    </row>
    <row r="55" spans="2:8" ht="25.5" x14ac:dyDescent="0.25">
      <c r="B55" s="60" t="s">
        <v>337</v>
      </c>
      <c r="C55" s="56" t="s">
        <v>338</v>
      </c>
      <c r="D55" s="21" t="s">
        <v>339</v>
      </c>
      <c r="E55" s="48"/>
      <c r="F55" s="48"/>
      <c r="G55" s="57"/>
      <c r="H55" s="58"/>
    </row>
    <row r="56" spans="2:8" ht="76.5" x14ac:dyDescent="0.25">
      <c r="B56" s="60" t="s">
        <v>340</v>
      </c>
      <c r="C56" s="56" t="s">
        <v>341</v>
      </c>
      <c r="D56" s="21" t="s">
        <v>342</v>
      </c>
      <c r="E56" s="48"/>
      <c r="F56" s="48"/>
      <c r="G56" s="57"/>
      <c r="H56" s="58"/>
    </row>
    <row r="57" spans="2:8" ht="76.5" x14ac:dyDescent="0.25">
      <c r="B57" s="60" t="s">
        <v>343</v>
      </c>
      <c r="C57" s="56" t="s">
        <v>341</v>
      </c>
      <c r="D57" s="21" t="s">
        <v>344</v>
      </c>
      <c r="E57" s="48"/>
      <c r="F57" s="48"/>
      <c r="G57" s="57"/>
      <c r="H57" s="58"/>
    </row>
    <row r="58" spans="2:8" ht="63.75" x14ac:dyDescent="0.25">
      <c r="B58" s="60" t="s">
        <v>343</v>
      </c>
      <c r="C58" s="56" t="s">
        <v>345</v>
      </c>
      <c r="D58" s="21" t="s">
        <v>346</v>
      </c>
      <c r="E58" s="48"/>
      <c r="F58" s="48"/>
      <c r="G58" s="57"/>
      <c r="H58" s="58"/>
    </row>
    <row r="60" spans="2:8" x14ac:dyDescent="0.25">
      <c r="B60" s="73" t="s">
        <v>268</v>
      </c>
      <c r="C60" s="73" t="s">
        <v>269</v>
      </c>
      <c r="D60" s="73" t="s">
        <v>270</v>
      </c>
      <c r="E60" s="136" t="s">
        <v>749</v>
      </c>
      <c r="F60" s="136"/>
      <c r="G60" s="136"/>
      <c r="H60" s="136"/>
    </row>
    <row r="61" spans="2:8" ht="45" x14ac:dyDescent="0.25">
      <c r="B61" s="59">
        <v>3.4</v>
      </c>
      <c r="C61" s="59" t="s">
        <v>272</v>
      </c>
      <c r="D61" s="59" t="s">
        <v>347</v>
      </c>
      <c r="E61" s="59" t="s">
        <v>274</v>
      </c>
      <c r="F61" s="59" t="s">
        <v>275</v>
      </c>
      <c r="G61" s="54" t="s">
        <v>276</v>
      </c>
      <c r="H61" s="55" t="s">
        <v>277</v>
      </c>
    </row>
    <row r="62" spans="2:8" ht="38.25" x14ac:dyDescent="0.25">
      <c r="B62" s="60" t="s">
        <v>348</v>
      </c>
      <c r="C62" s="56" t="s">
        <v>338</v>
      </c>
      <c r="D62" s="21" t="s">
        <v>349</v>
      </c>
      <c r="E62" s="48"/>
      <c r="F62" s="48"/>
      <c r="G62" s="57"/>
      <c r="H62" s="58"/>
    </row>
    <row r="63" spans="2:8" ht="102" x14ac:dyDescent="0.25">
      <c r="B63" s="60" t="s">
        <v>350</v>
      </c>
      <c r="C63" s="56" t="s">
        <v>341</v>
      </c>
      <c r="D63" s="21" t="s">
        <v>351</v>
      </c>
      <c r="E63" s="48"/>
      <c r="F63" s="48"/>
      <c r="G63" s="57"/>
      <c r="H63" s="58"/>
    </row>
    <row r="64" spans="2:8" ht="102" x14ac:dyDescent="0.25">
      <c r="B64" s="60" t="s">
        <v>352</v>
      </c>
      <c r="C64" s="56" t="s">
        <v>353</v>
      </c>
      <c r="D64" s="21" t="s">
        <v>354</v>
      </c>
      <c r="E64" s="48"/>
      <c r="F64" s="48"/>
      <c r="G64" s="57"/>
      <c r="H64" s="58"/>
    </row>
    <row r="66" spans="2:8" ht="32.450000000000003" customHeight="1" x14ac:dyDescent="0.25">
      <c r="B66" s="73" t="s">
        <v>268</v>
      </c>
      <c r="C66" s="73" t="s">
        <v>269</v>
      </c>
      <c r="D66" s="73" t="s">
        <v>270</v>
      </c>
      <c r="E66" s="136" t="s">
        <v>749</v>
      </c>
      <c r="F66" s="136"/>
      <c r="G66" s="136"/>
      <c r="H66" s="136"/>
    </row>
    <row r="67" spans="2:8" ht="60" x14ac:dyDescent="0.25">
      <c r="B67" s="59">
        <v>3.5</v>
      </c>
      <c r="C67" s="59" t="s">
        <v>272</v>
      </c>
      <c r="D67" s="59" t="s">
        <v>355</v>
      </c>
      <c r="E67" s="59" t="s">
        <v>274</v>
      </c>
      <c r="F67" s="59" t="s">
        <v>275</v>
      </c>
      <c r="G67" s="54" t="s">
        <v>276</v>
      </c>
      <c r="H67" s="55" t="s">
        <v>277</v>
      </c>
    </row>
    <row r="68" spans="2:8" ht="63.75" x14ac:dyDescent="0.25">
      <c r="B68" s="60" t="s">
        <v>356</v>
      </c>
      <c r="C68" s="56" t="s">
        <v>341</v>
      </c>
      <c r="D68" s="21" t="s">
        <v>357</v>
      </c>
      <c r="E68" s="48"/>
      <c r="F68" s="48"/>
      <c r="G68" s="57"/>
      <c r="H68" s="58"/>
    </row>
    <row r="69" spans="2:8" ht="38.25" x14ac:dyDescent="0.25">
      <c r="B69" s="60" t="s">
        <v>358</v>
      </c>
      <c r="C69" s="56" t="s">
        <v>341</v>
      </c>
      <c r="D69" s="21" t="s">
        <v>359</v>
      </c>
      <c r="E69" s="48"/>
      <c r="F69" s="48"/>
      <c r="G69" s="57"/>
      <c r="H69" s="58"/>
    </row>
    <row r="70" spans="2:8" ht="102" x14ac:dyDescent="0.25">
      <c r="B70" s="60" t="s">
        <v>360</v>
      </c>
      <c r="C70" s="56" t="s">
        <v>353</v>
      </c>
      <c r="D70" s="21" t="s">
        <v>354</v>
      </c>
      <c r="E70" s="48"/>
      <c r="F70" s="48"/>
      <c r="G70" s="57"/>
      <c r="H70" s="58"/>
    </row>
    <row r="72" spans="2:8" x14ac:dyDescent="0.25">
      <c r="B72" s="73" t="s">
        <v>268</v>
      </c>
      <c r="C72" s="73" t="s">
        <v>269</v>
      </c>
      <c r="D72" s="73" t="s">
        <v>270</v>
      </c>
      <c r="E72" s="136" t="s">
        <v>749</v>
      </c>
      <c r="F72" s="136"/>
      <c r="G72" s="136"/>
      <c r="H72" s="136"/>
    </row>
    <row r="73" spans="2:8" ht="45" x14ac:dyDescent="0.25">
      <c r="B73" s="59">
        <v>3.6</v>
      </c>
      <c r="C73" s="59" t="s">
        <v>272</v>
      </c>
      <c r="D73" s="59" t="s">
        <v>361</v>
      </c>
      <c r="E73" s="59" t="s">
        <v>274</v>
      </c>
      <c r="F73" s="59" t="s">
        <v>275</v>
      </c>
      <c r="G73" s="54" t="s">
        <v>276</v>
      </c>
      <c r="H73" s="55" t="s">
        <v>277</v>
      </c>
    </row>
    <row r="74" spans="2:8" ht="38.25" x14ac:dyDescent="0.25">
      <c r="B74" s="60" t="s">
        <v>362</v>
      </c>
      <c r="C74" s="56" t="s">
        <v>363</v>
      </c>
      <c r="D74" s="21" t="s">
        <v>364</v>
      </c>
      <c r="E74" s="48"/>
      <c r="F74" s="48"/>
      <c r="G74" s="57"/>
      <c r="H74" s="58"/>
    </row>
    <row r="75" spans="2:8" ht="63.75" x14ac:dyDescent="0.25">
      <c r="B75" s="60" t="s">
        <v>365</v>
      </c>
      <c r="C75" s="56" t="s">
        <v>363</v>
      </c>
      <c r="D75" s="21" t="s">
        <v>366</v>
      </c>
      <c r="E75" s="48"/>
      <c r="F75" s="48"/>
      <c r="G75" s="57"/>
      <c r="H75" s="58"/>
    </row>
    <row r="76" spans="2:8" ht="76.5" x14ac:dyDescent="0.25">
      <c r="B76" s="60" t="s">
        <v>367</v>
      </c>
      <c r="C76" s="56" t="s">
        <v>363</v>
      </c>
      <c r="D76" s="21" t="s">
        <v>368</v>
      </c>
      <c r="E76" s="48"/>
      <c r="F76" s="48"/>
      <c r="G76" s="57"/>
      <c r="H76" s="58"/>
    </row>
    <row r="77" spans="2:8" ht="51" x14ac:dyDescent="0.25">
      <c r="B77" s="60" t="s">
        <v>369</v>
      </c>
      <c r="C77" s="56" t="s">
        <v>370</v>
      </c>
      <c r="D77" s="21" t="s">
        <v>371</v>
      </c>
      <c r="E77" s="48"/>
      <c r="F77" s="48"/>
      <c r="G77" s="57"/>
      <c r="H77" s="58"/>
    </row>
    <row r="78" spans="2:8" ht="89.25" x14ac:dyDescent="0.25">
      <c r="B78" s="60" t="s">
        <v>372</v>
      </c>
      <c r="C78" s="56" t="s">
        <v>363</v>
      </c>
      <c r="D78" s="21" t="s">
        <v>373</v>
      </c>
      <c r="E78" s="48"/>
      <c r="F78" s="48"/>
      <c r="G78" s="57"/>
      <c r="H78" s="58"/>
    </row>
    <row r="80" spans="2:8" x14ac:dyDescent="0.25">
      <c r="B80" s="73" t="s">
        <v>268</v>
      </c>
      <c r="C80" s="73" t="s">
        <v>269</v>
      </c>
      <c r="D80" s="73" t="s">
        <v>270</v>
      </c>
      <c r="E80" s="136" t="s">
        <v>749</v>
      </c>
      <c r="F80" s="136"/>
      <c r="G80" s="136"/>
      <c r="H80" s="136"/>
    </row>
    <row r="81" spans="2:8" ht="45" x14ac:dyDescent="0.25">
      <c r="B81" s="59">
        <v>3.7</v>
      </c>
      <c r="C81" s="59" t="s">
        <v>272</v>
      </c>
      <c r="D81" s="59" t="s">
        <v>374</v>
      </c>
      <c r="E81" s="59" t="s">
        <v>274</v>
      </c>
      <c r="F81" s="59" t="s">
        <v>275</v>
      </c>
      <c r="G81" s="54" t="s">
        <v>276</v>
      </c>
      <c r="H81" s="55" t="s">
        <v>277</v>
      </c>
    </row>
    <row r="82" spans="2:8" ht="114.75" x14ac:dyDescent="0.25">
      <c r="B82" s="60" t="s">
        <v>375</v>
      </c>
      <c r="C82" s="56" t="s">
        <v>376</v>
      </c>
      <c r="D82" s="21" t="s">
        <v>377</v>
      </c>
      <c r="E82" s="48"/>
      <c r="F82" s="48"/>
      <c r="G82" s="57"/>
      <c r="H82" s="58"/>
    </row>
    <row r="83" spans="2:8" ht="89.25" x14ac:dyDescent="0.25">
      <c r="B83" s="60" t="s">
        <v>378</v>
      </c>
      <c r="C83" s="56" t="s">
        <v>379</v>
      </c>
      <c r="D83" s="21" t="s">
        <v>380</v>
      </c>
      <c r="E83" s="48"/>
      <c r="F83" s="48"/>
      <c r="G83" s="57"/>
      <c r="H83" s="58"/>
    </row>
    <row r="84" spans="2:8" ht="204" x14ac:dyDescent="0.25">
      <c r="B84" s="60" t="s">
        <v>381</v>
      </c>
      <c r="C84" s="56" t="s">
        <v>382</v>
      </c>
      <c r="D84" s="21" t="s">
        <v>383</v>
      </c>
      <c r="E84" s="48"/>
      <c r="F84" s="48"/>
      <c r="G84" s="57"/>
      <c r="H84" s="58"/>
    </row>
    <row r="85" spans="2:8" ht="76.5" x14ac:dyDescent="0.25">
      <c r="B85" s="60" t="s">
        <v>384</v>
      </c>
      <c r="C85" s="56" t="s">
        <v>385</v>
      </c>
      <c r="D85" s="21" t="s">
        <v>386</v>
      </c>
      <c r="E85" s="48"/>
      <c r="F85" s="48"/>
      <c r="G85" s="57"/>
      <c r="H85" s="58"/>
    </row>
    <row r="86" spans="2:8" ht="63.75" x14ac:dyDescent="0.25">
      <c r="B86" s="60" t="s">
        <v>387</v>
      </c>
      <c r="C86" s="56" t="s">
        <v>388</v>
      </c>
      <c r="D86" s="21" t="s">
        <v>389</v>
      </c>
      <c r="E86" s="48"/>
      <c r="F86" s="48"/>
      <c r="G86" s="57"/>
      <c r="H86" s="58"/>
    </row>
    <row r="87" spans="2:8" ht="102" x14ac:dyDescent="0.25">
      <c r="B87" s="60" t="s">
        <v>390</v>
      </c>
      <c r="C87" s="56" t="s">
        <v>391</v>
      </c>
      <c r="D87" s="21" t="s">
        <v>392</v>
      </c>
      <c r="E87" s="48"/>
      <c r="F87" s="48"/>
      <c r="G87" s="57"/>
      <c r="H87" s="58"/>
    </row>
    <row r="88" spans="2:8" ht="76.5" x14ac:dyDescent="0.25">
      <c r="B88" s="60" t="s">
        <v>393</v>
      </c>
      <c r="C88" s="56" t="s">
        <v>394</v>
      </c>
      <c r="D88" s="21" t="s">
        <v>395</v>
      </c>
      <c r="E88" s="48"/>
      <c r="F88" s="48"/>
      <c r="G88" s="57"/>
      <c r="H88" s="58"/>
    </row>
    <row r="89" spans="2:8" ht="89.25" x14ac:dyDescent="0.25">
      <c r="B89" s="60" t="s">
        <v>396</v>
      </c>
      <c r="C89" s="56" t="s">
        <v>397</v>
      </c>
      <c r="D89" s="21" t="s">
        <v>398</v>
      </c>
      <c r="E89" s="48"/>
      <c r="F89" s="48"/>
      <c r="G89" s="57"/>
      <c r="H89" s="58"/>
    </row>
    <row r="90" spans="2:8" ht="153" x14ac:dyDescent="0.25">
      <c r="B90" s="60" t="s">
        <v>399</v>
      </c>
      <c r="C90" s="56" t="s">
        <v>400</v>
      </c>
      <c r="D90" s="21" t="s">
        <v>401</v>
      </c>
      <c r="E90" s="48"/>
      <c r="F90" s="48"/>
      <c r="G90" s="57"/>
      <c r="H90" s="58"/>
    </row>
    <row r="91" spans="2:8" ht="38.25" x14ac:dyDescent="0.25">
      <c r="B91" s="60" t="s">
        <v>402</v>
      </c>
      <c r="C91" s="56" t="s">
        <v>403</v>
      </c>
      <c r="D91" s="21" t="s">
        <v>404</v>
      </c>
      <c r="E91" s="48"/>
      <c r="F91" s="48"/>
      <c r="G91" s="57"/>
      <c r="H91" s="58"/>
    </row>
    <row r="92" spans="2:8" ht="216.75" x14ac:dyDescent="0.25">
      <c r="B92" s="60" t="s">
        <v>405</v>
      </c>
      <c r="C92" s="56" t="s">
        <v>406</v>
      </c>
      <c r="D92" s="21" t="s">
        <v>407</v>
      </c>
      <c r="E92" s="48"/>
      <c r="F92" s="48"/>
      <c r="G92" s="57"/>
      <c r="H92" s="58"/>
    </row>
    <row r="93" spans="2:8" ht="63.75" x14ac:dyDescent="0.25">
      <c r="B93" s="60" t="s">
        <v>408</v>
      </c>
      <c r="C93" s="56" t="s">
        <v>409</v>
      </c>
      <c r="D93" s="21" t="s">
        <v>410</v>
      </c>
      <c r="E93" s="48"/>
      <c r="F93" s="48"/>
      <c r="G93" s="57"/>
      <c r="H93" s="58"/>
    </row>
    <row r="94" spans="2:8" ht="127.5" x14ac:dyDescent="0.25">
      <c r="B94" s="60" t="s">
        <v>411</v>
      </c>
      <c r="C94" s="56" t="s">
        <v>412</v>
      </c>
      <c r="D94" s="21" t="s">
        <v>413</v>
      </c>
      <c r="E94" s="48"/>
      <c r="F94" s="48"/>
      <c r="G94" s="57"/>
      <c r="H94" s="58"/>
    </row>
    <row r="96" spans="2:8" x14ac:dyDescent="0.25">
      <c r="B96" s="73" t="s">
        <v>268</v>
      </c>
      <c r="C96" s="73" t="s">
        <v>269</v>
      </c>
      <c r="D96" s="73" t="s">
        <v>270</v>
      </c>
      <c r="E96" s="136" t="s">
        <v>749</v>
      </c>
      <c r="F96" s="136"/>
      <c r="G96" s="136"/>
      <c r="H96" s="136"/>
    </row>
    <row r="97" spans="2:8" ht="45" x14ac:dyDescent="0.25">
      <c r="B97" s="59">
        <v>3.8</v>
      </c>
      <c r="C97" s="59" t="s">
        <v>272</v>
      </c>
      <c r="D97" s="59" t="s">
        <v>414</v>
      </c>
      <c r="E97" s="59" t="s">
        <v>274</v>
      </c>
      <c r="F97" s="59" t="s">
        <v>275</v>
      </c>
      <c r="G97" s="54" t="s">
        <v>276</v>
      </c>
      <c r="H97" s="55" t="s">
        <v>277</v>
      </c>
    </row>
    <row r="98" spans="2:8" ht="25.5" x14ac:dyDescent="0.25">
      <c r="B98" s="60" t="s">
        <v>415</v>
      </c>
      <c r="C98" s="56" t="s">
        <v>376</v>
      </c>
      <c r="D98" s="21" t="s">
        <v>416</v>
      </c>
      <c r="E98" s="48"/>
      <c r="F98" s="48"/>
      <c r="G98" s="57"/>
      <c r="H98" s="58"/>
    </row>
    <row r="99" spans="2:8" ht="63.75" x14ac:dyDescent="0.25">
      <c r="B99" s="60" t="s">
        <v>417</v>
      </c>
      <c r="C99" s="56" t="s">
        <v>379</v>
      </c>
      <c r="D99" s="21" t="s">
        <v>418</v>
      </c>
      <c r="E99" s="48"/>
      <c r="F99" s="48"/>
      <c r="G99" s="57"/>
      <c r="H99" s="58"/>
    </row>
    <row r="100" spans="2:8" ht="38.25" x14ac:dyDescent="0.25">
      <c r="B100" s="60" t="s">
        <v>419</v>
      </c>
      <c r="C100" s="56" t="s">
        <v>382</v>
      </c>
      <c r="D100" s="21" t="s">
        <v>420</v>
      </c>
      <c r="E100" s="48"/>
      <c r="F100" s="48"/>
      <c r="G100" s="57"/>
      <c r="H100" s="58"/>
    </row>
    <row r="101" spans="2:8" ht="63.75" x14ac:dyDescent="0.25">
      <c r="B101" s="60" t="s">
        <v>421</v>
      </c>
      <c r="C101" s="56" t="s">
        <v>385</v>
      </c>
      <c r="D101" s="21" t="s">
        <v>422</v>
      </c>
      <c r="E101" s="48"/>
      <c r="F101" s="48"/>
      <c r="G101" s="57"/>
      <c r="H101" s="58"/>
    </row>
    <row r="103" spans="2:8" x14ac:dyDescent="0.25">
      <c r="B103" s="73" t="s">
        <v>268</v>
      </c>
      <c r="C103" s="73" t="s">
        <v>269</v>
      </c>
      <c r="D103" s="73" t="s">
        <v>270</v>
      </c>
      <c r="E103" s="136" t="s">
        <v>749</v>
      </c>
      <c r="F103" s="136"/>
      <c r="G103" s="136"/>
      <c r="H103" s="136"/>
    </row>
    <row r="104" spans="2:8" ht="45" x14ac:dyDescent="0.25">
      <c r="B104" s="59">
        <v>3.9</v>
      </c>
      <c r="C104" s="59" t="s">
        <v>272</v>
      </c>
      <c r="D104" s="59" t="s">
        <v>423</v>
      </c>
      <c r="E104" s="59" t="s">
        <v>274</v>
      </c>
      <c r="F104" s="59" t="s">
        <v>275</v>
      </c>
      <c r="G104" s="54" t="s">
        <v>276</v>
      </c>
      <c r="H104" s="55" t="s">
        <v>277</v>
      </c>
    </row>
    <row r="105" spans="2:8" ht="89.25" x14ac:dyDescent="0.25">
      <c r="B105" s="60" t="s">
        <v>424</v>
      </c>
      <c r="C105" s="56" t="s">
        <v>425</v>
      </c>
      <c r="D105" s="21" t="s">
        <v>426</v>
      </c>
      <c r="E105" s="48"/>
      <c r="F105" s="48"/>
      <c r="G105" s="57"/>
      <c r="H105" s="58"/>
    </row>
    <row r="106" spans="2:8" ht="63.75" x14ac:dyDescent="0.25">
      <c r="B106" s="60" t="s">
        <v>427</v>
      </c>
      <c r="C106" s="56" t="s">
        <v>428</v>
      </c>
      <c r="D106" s="21" t="s">
        <v>429</v>
      </c>
      <c r="E106" s="48"/>
      <c r="F106" s="48"/>
      <c r="G106" s="57"/>
      <c r="H106" s="58"/>
    </row>
    <row r="107" spans="2:8" ht="51" x14ac:dyDescent="0.25">
      <c r="B107" s="60" t="s">
        <v>430</v>
      </c>
      <c r="C107" s="56" t="s">
        <v>431</v>
      </c>
      <c r="D107" s="21" t="s">
        <v>432</v>
      </c>
      <c r="E107" s="48"/>
      <c r="F107" s="48"/>
      <c r="G107" s="57"/>
      <c r="H107" s="58"/>
    </row>
    <row r="108" spans="2:8" ht="165.75" x14ac:dyDescent="0.25">
      <c r="B108" s="60" t="s">
        <v>433</v>
      </c>
      <c r="C108" s="56" t="s">
        <v>434</v>
      </c>
      <c r="D108" s="21" t="s">
        <v>435</v>
      </c>
      <c r="E108" s="48"/>
      <c r="F108" s="48"/>
      <c r="G108" s="57"/>
      <c r="H108" s="58"/>
    </row>
    <row r="109" spans="2:8" ht="51" x14ac:dyDescent="0.25">
      <c r="B109" s="60" t="s">
        <v>436</v>
      </c>
      <c r="C109" s="56" t="s">
        <v>437</v>
      </c>
      <c r="D109" s="21" t="s">
        <v>438</v>
      </c>
      <c r="E109" s="48"/>
      <c r="F109" s="48"/>
      <c r="G109" s="57"/>
      <c r="H109" s="58"/>
    </row>
    <row r="110" spans="2:8" ht="178.5" x14ac:dyDescent="0.25">
      <c r="B110" s="60" t="s">
        <v>439</v>
      </c>
      <c r="C110" s="56" t="s">
        <v>440</v>
      </c>
      <c r="D110" s="21" t="s">
        <v>441</v>
      </c>
      <c r="E110" s="48"/>
      <c r="F110" s="48"/>
      <c r="G110" s="57"/>
      <c r="H110" s="58"/>
    </row>
    <row r="111" spans="2:8" ht="76.5" x14ac:dyDescent="0.25">
      <c r="B111" s="60" t="s">
        <v>442</v>
      </c>
      <c r="C111" s="56" t="s">
        <v>443</v>
      </c>
      <c r="D111" s="21" t="s">
        <v>444</v>
      </c>
      <c r="E111" s="48"/>
      <c r="F111" s="48"/>
      <c r="G111" s="57"/>
      <c r="H111" s="58"/>
    </row>
    <row r="112" spans="2:8" ht="51" x14ac:dyDescent="0.25">
      <c r="B112" s="60" t="s">
        <v>445</v>
      </c>
      <c r="C112" s="56" t="s">
        <v>446</v>
      </c>
      <c r="D112" s="21" t="s">
        <v>447</v>
      </c>
      <c r="E112" s="48"/>
      <c r="F112" s="48"/>
      <c r="G112" s="57"/>
      <c r="H112" s="58"/>
    </row>
    <row r="113" spans="2:8" ht="51" x14ac:dyDescent="0.25">
      <c r="B113" s="60" t="s">
        <v>448</v>
      </c>
      <c r="C113" s="56" t="s">
        <v>449</v>
      </c>
      <c r="D113" s="21" t="s">
        <v>450</v>
      </c>
      <c r="E113" s="48"/>
      <c r="F113" s="48"/>
      <c r="G113" s="57"/>
      <c r="H113" s="58"/>
    </row>
    <row r="114" spans="2:8" ht="191.25" x14ac:dyDescent="0.25">
      <c r="B114" s="60" t="s">
        <v>451</v>
      </c>
      <c r="C114" s="56" t="s">
        <v>452</v>
      </c>
      <c r="D114" s="21" t="s">
        <v>453</v>
      </c>
      <c r="E114" s="48"/>
      <c r="F114" s="48"/>
      <c r="G114" s="57"/>
      <c r="H114" s="58"/>
    </row>
    <row r="115" spans="2:8" ht="51" x14ac:dyDescent="0.25">
      <c r="B115" s="60" t="s">
        <v>454</v>
      </c>
      <c r="C115" s="56" t="s">
        <v>455</v>
      </c>
      <c r="D115" s="21" t="s">
        <v>456</v>
      </c>
      <c r="E115" s="48"/>
      <c r="F115" s="48"/>
      <c r="G115" s="57"/>
      <c r="H115" s="58"/>
    </row>
    <row r="116" spans="2:8" ht="89.25" x14ac:dyDescent="0.25">
      <c r="B116" s="60" t="s">
        <v>457</v>
      </c>
      <c r="C116" s="56" t="s">
        <v>458</v>
      </c>
      <c r="D116" s="21" t="s">
        <v>459</v>
      </c>
      <c r="E116" s="48"/>
      <c r="F116" s="48"/>
      <c r="G116" s="57"/>
      <c r="H116" s="58"/>
    </row>
    <row r="118" spans="2:8" x14ac:dyDescent="0.25">
      <c r="B118" s="73" t="s">
        <v>268</v>
      </c>
      <c r="C118" s="73" t="s">
        <v>269</v>
      </c>
      <c r="D118" s="73" t="s">
        <v>270</v>
      </c>
      <c r="E118" s="136" t="s">
        <v>749</v>
      </c>
      <c r="F118" s="136"/>
      <c r="G118" s="136"/>
      <c r="H118" s="136"/>
    </row>
    <row r="119" spans="2:8" ht="75" x14ac:dyDescent="0.25">
      <c r="B119" s="71">
        <v>3.1</v>
      </c>
      <c r="C119" s="59" t="s">
        <v>272</v>
      </c>
      <c r="D119" s="59" t="s">
        <v>460</v>
      </c>
      <c r="E119" s="59" t="s">
        <v>274</v>
      </c>
      <c r="F119" s="59" t="s">
        <v>275</v>
      </c>
      <c r="G119" s="54" t="s">
        <v>276</v>
      </c>
      <c r="H119" s="55" t="s">
        <v>277</v>
      </c>
    </row>
    <row r="120" spans="2:8" ht="51" x14ac:dyDescent="0.25">
      <c r="B120" s="60" t="s">
        <v>461</v>
      </c>
      <c r="C120" s="56" t="s">
        <v>462</v>
      </c>
      <c r="D120" s="21" t="s">
        <v>463</v>
      </c>
      <c r="E120" s="48"/>
      <c r="F120" s="48"/>
      <c r="G120" s="57"/>
      <c r="H120" s="58"/>
    </row>
    <row r="121" spans="2:8" ht="25.5" x14ac:dyDescent="0.25">
      <c r="B121" s="60" t="s">
        <v>464</v>
      </c>
      <c r="C121" s="56" t="s">
        <v>462</v>
      </c>
      <c r="D121" s="21" t="s">
        <v>465</v>
      </c>
      <c r="E121" s="48"/>
      <c r="F121" s="48"/>
      <c r="G121" s="57"/>
      <c r="H121" s="58"/>
    </row>
    <row r="123" spans="2:8" x14ac:dyDescent="0.25">
      <c r="B123" s="73" t="s">
        <v>268</v>
      </c>
      <c r="C123" s="73" t="s">
        <v>269</v>
      </c>
      <c r="D123" s="73" t="s">
        <v>270</v>
      </c>
      <c r="E123" s="136" t="s">
        <v>749</v>
      </c>
      <c r="F123" s="136"/>
      <c r="G123" s="136"/>
      <c r="H123" s="136"/>
    </row>
    <row r="124" spans="2:8" ht="45" x14ac:dyDescent="0.25">
      <c r="B124" s="71">
        <v>3.11</v>
      </c>
      <c r="C124" s="59" t="s">
        <v>272</v>
      </c>
      <c r="D124" s="59" t="s">
        <v>466</v>
      </c>
      <c r="E124" s="59" t="s">
        <v>274</v>
      </c>
      <c r="F124" s="59" t="s">
        <v>275</v>
      </c>
      <c r="G124" s="54" t="s">
        <v>276</v>
      </c>
      <c r="H124" s="55" t="s">
        <v>277</v>
      </c>
    </row>
    <row r="125" spans="2:8" ht="38.25" x14ac:dyDescent="0.25">
      <c r="B125" s="60" t="s">
        <v>467</v>
      </c>
      <c r="C125" s="56" t="s">
        <v>468</v>
      </c>
      <c r="D125" s="21" t="s">
        <v>469</v>
      </c>
      <c r="E125" s="48"/>
      <c r="F125" s="48"/>
      <c r="G125" s="57"/>
      <c r="H125" s="58"/>
    </row>
    <row r="126" spans="2:8" ht="38.25" x14ac:dyDescent="0.25">
      <c r="B126" s="60" t="s">
        <v>470</v>
      </c>
      <c r="C126" s="56" t="s">
        <v>468</v>
      </c>
      <c r="D126" s="21" t="s">
        <v>471</v>
      </c>
      <c r="E126" s="48"/>
      <c r="F126" s="48"/>
      <c r="G126" s="57"/>
      <c r="H126" s="58"/>
    </row>
    <row r="128" spans="2:8" x14ac:dyDescent="0.25">
      <c r="B128" s="73" t="s">
        <v>268</v>
      </c>
      <c r="C128" s="73" t="s">
        <v>269</v>
      </c>
      <c r="D128" s="73" t="s">
        <v>270</v>
      </c>
      <c r="E128" s="136" t="s">
        <v>749</v>
      </c>
      <c r="F128" s="136"/>
      <c r="G128" s="136"/>
      <c r="H128" s="136"/>
    </row>
    <row r="129" spans="1:8" ht="45" x14ac:dyDescent="0.25">
      <c r="B129" s="71">
        <v>3.12</v>
      </c>
      <c r="C129" s="59" t="s">
        <v>272</v>
      </c>
      <c r="D129" s="59" t="s">
        <v>472</v>
      </c>
      <c r="E129" s="59" t="s">
        <v>274</v>
      </c>
      <c r="F129" s="59" t="s">
        <v>275</v>
      </c>
      <c r="G129" s="54" t="s">
        <v>276</v>
      </c>
      <c r="H129" s="55" t="s">
        <v>277</v>
      </c>
    </row>
    <row r="130" spans="1:8" ht="38.25" x14ac:dyDescent="0.25">
      <c r="B130" s="60" t="s">
        <v>473</v>
      </c>
      <c r="C130" s="56" t="s">
        <v>468</v>
      </c>
      <c r="D130" s="21" t="s">
        <v>474</v>
      </c>
      <c r="E130" s="48"/>
      <c r="F130" s="48"/>
      <c r="G130" s="57"/>
      <c r="H130" s="58"/>
    </row>
    <row r="131" spans="1:8" ht="38.25" x14ac:dyDescent="0.25">
      <c r="B131" s="60" t="s">
        <v>475</v>
      </c>
      <c r="C131" s="56" t="s">
        <v>476</v>
      </c>
      <c r="D131" s="21" t="s">
        <v>477</v>
      </c>
      <c r="E131" s="48"/>
      <c r="F131" s="48"/>
      <c r="G131" s="57"/>
      <c r="H131" s="58"/>
    </row>
    <row r="132" spans="1:8" ht="13.5" thickBot="1" x14ac:dyDescent="0.3"/>
    <row r="133" spans="1:8" s="69" customFormat="1" ht="24.6" customHeight="1" thickBot="1" x14ac:dyDescent="0.3">
      <c r="A133" s="51">
        <v>4</v>
      </c>
      <c r="B133" s="142" t="s">
        <v>266</v>
      </c>
      <c r="C133" s="143"/>
      <c r="D133" s="68" t="s">
        <v>478</v>
      </c>
      <c r="F133" s="70"/>
      <c r="G133" s="70"/>
      <c r="H133" s="70"/>
    </row>
    <row r="134" spans="1:8" s="69" customFormat="1" ht="15" x14ac:dyDescent="0.25">
      <c r="C134" s="70"/>
      <c r="D134" s="70"/>
      <c r="F134" s="70"/>
      <c r="G134" s="70"/>
      <c r="H134" s="70"/>
    </row>
    <row r="135" spans="1:8" x14ac:dyDescent="0.25">
      <c r="B135" s="73" t="s">
        <v>268</v>
      </c>
      <c r="C135" s="73" t="s">
        <v>269</v>
      </c>
      <c r="D135" s="73" t="s">
        <v>270</v>
      </c>
      <c r="E135" s="136" t="s">
        <v>271</v>
      </c>
      <c r="F135" s="136"/>
      <c r="G135" s="136"/>
      <c r="H135" s="136"/>
    </row>
    <row r="136" spans="1:8" ht="30" x14ac:dyDescent="0.25">
      <c r="B136" s="59">
        <v>4.0999999999999996</v>
      </c>
      <c r="C136" s="59" t="s">
        <v>272</v>
      </c>
      <c r="D136" s="59" t="s">
        <v>479</v>
      </c>
      <c r="E136" s="59" t="s">
        <v>274</v>
      </c>
      <c r="F136" s="59" t="s">
        <v>275</v>
      </c>
      <c r="G136" s="54" t="s">
        <v>276</v>
      </c>
      <c r="H136" s="55" t="s">
        <v>277</v>
      </c>
    </row>
    <row r="137" spans="1:8" ht="25.5" x14ac:dyDescent="0.25">
      <c r="B137" s="60" t="s">
        <v>480</v>
      </c>
      <c r="C137" s="56" t="s">
        <v>481</v>
      </c>
      <c r="D137" s="21" t="s">
        <v>482</v>
      </c>
      <c r="E137" s="48"/>
      <c r="F137" s="48"/>
      <c r="G137" s="57"/>
      <c r="H137" s="58"/>
    </row>
    <row r="138" spans="1:8" ht="25.5" x14ac:dyDescent="0.25">
      <c r="B138" s="60" t="s">
        <v>483</v>
      </c>
      <c r="C138" s="56" t="s">
        <v>481</v>
      </c>
      <c r="D138" s="21" t="s">
        <v>484</v>
      </c>
      <c r="E138" s="48"/>
      <c r="F138" s="48"/>
      <c r="G138" s="57"/>
      <c r="H138" s="58"/>
    </row>
    <row r="139" spans="1:8" ht="38.25" x14ac:dyDescent="0.25">
      <c r="B139" s="60" t="s">
        <v>485</v>
      </c>
      <c r="C139" s="56" t="s">
        <v>481</v>
      </c>
      <c r="D139" s="21" t="s">
        <v>486</v>
      </c>
      <c r="E139" s="48"/>
      <c r="F139" s="48"/>
      <c r="G139" s="57"/>
      <c r="H139" s="58"/>
    </row>
    <row r="140" spans="1:8" ht="153" x14ac:dyDescent="0.25">
      <c r="B140" s="60" t="s">
        <v>487</v>
      </c>
      <c r="C140" s="56" t="s">
        <v>488</v>
      </c>
      <c r="D140" s="21" t="s">
        <v>489</v>
      </c>
      <c r="E140" s="48"/>
      <c r="F140" s="48"/>
      <c r="G140" s="57"/>
      <c r="H140" s="58"/>
    </row>
    <row r="141" spans="1:8" ht="25.5" x14ac:dyDescent="0.25">
      <c r="B141" s="60" t="s">
        <v>490</v>
      </c>
      <c r="C141" s="56" t="s">
        <v>491</v>
      </c>
      <c r="D141" s="21" t="s">
        <v>492</v>
      </c>
      <c r="E141" s="48"/>
      <c r="F141" s="48"/>
      <c r="G141" s="57"/>
      <c r="H141" s="58"/>
    </row>
    <row r="143" spans="1:8" x14ac:dyDescent="0.25">
      <c r="B143" s="73" t="s">
        <v>268</v>
      </c>
      <c r="C143" s="73" t="s">
        <v>269</v>
      </c>
      <c r="D143" s="73" t="s">
        <v>270</v>
      </c>
      <c r="E143" s="136" t="s">
        <v>271</v>
      </c>
      <c r="F143" s="136"/>
      <c r="G143" s="136"/>
      <c r="H143" s="136"/>
    </row>
    <row r="144" spans="1:8" ht="45" x14ac:dyDescent="0.25">
      <c r="B144" s="59">
        <v>4.2</v>
      </c>
      <c r="C144" s="59" t="s">
        <v>272</v>
      </c>
      <c r="D144" s="59" t="s">
        <v>493</v>
      </c>
      <c r="E144" s="59" t="s">
        <v>274</v>
      </c>
      <c r="F144" s="59" t="s">
        <v>275</v>
      </c>
      <c r="G144" s="54" t="s">
        <v>276</v>
      </c>
      <c r="H144" s="55" t="s">
        <v>277</v>
      </c>
    </row>
    <row r="145" spans="2:8" ht="153" x14ac:dyDescent="0.25">
      <c r="B145" s="60" t="s">
        <v>494</v>
      </c>
      <c r="C145" s="56" t="s">
        <v>495</v>
      </c>
      <c r="D145" s="21" t="s">
        <v>496</v>
      </c>
      <c r="E145" s="48"/>
      <c r="F145" s="48"/>
      <c r="G145" s="57"/>
      <c r="H145" s="58"/>
    </row>
    <row r="146" spans="2:8" ht="51" x14ac:dyDescent="0.25">
      <c r="B146" s="60" t="s">
        <v>497</v>
      </c>
      <c r="C146" s="56" t="s">
        <v>498</v>
      </c>
      <c r="D146" s="21" t="s">
        <v>499</v>
      </c>
      <c r="E146" s="48"/>
      <c r="F146" s="48"/>
      <c r="G146" s="57"/>
      <c r="H146" s="58"/>
    </row>
    <row r="147" spans="2:8" ht="63.75" x14ac:dyDescent="0.25">
      <c r="B147" s="60" t="s">
        <v>500</v>
      </c>
      <c r="C147" s="56" t="s">
        <v>498</v>
      </c>
      <c r="D147" s="21" t="s">
        <v>501</v>
      </c>
      <c r="E147" s="48"/>
      <c r="F147" s="48"/>
      <c r="G147" s="57"/>
      <c r="H147" s="58"/>
    </row>
    <row r="149" spans="2:8" x14ac:dyDescent="0.25">
      <c r="B149" s="73" t="s">
        <v>268</v>
      </c>
      <c r="C149" s="73" t="s">
        <v>269</v>
      </c>
      <c r="D149" s="73" t="s">
        <v>270</v>
      </c>
      <c r="E149" s="136" t="s">
        <v>271</v>
      </c>
      <c r="F149" s="136"/>
      <c r="G149" s="136"/>
      <c r="H149" s="136"/>
    </row>
    <row r="150" spans="2:8" ht="30" x14ac:dyDescent="0.25">
      <c r="B150" s="59">
        <v>4.3</v>
      </c>
      <c r="C150" s="59" t="s">
        <v>272</v>
      </c>
      <c r="D150" s="59" t="s">
        <v>502</v>
      </c>
      <c r="E150" s="59" t="s">
        <v>274</v>
      </c>
      <c r="F150" s="59" t="s">
        <v>275</v>
      </c>
      <c r="G150" s="54" t="s">
        <v>276</v>
      </c>
      <c r="H150" s="55" t="s">
        <v>277</v>
      </c>
    </row>
    <row r="151" spans="2:8" ht="127.5" x14ac:dyDescent="0.25">
      <c r="B151" s="60" t="s">
        <v>503</v>
      </c>
      <c r="C151" s="56" t="s">
        <v>498</v>
      </c>
      <c r="D151" s="21" t="s">
        <v>504</v>
      </c>
      <c r="E151" s="48" t="str">
        <f>VLOOKUP($B$151,'[2]4. Administración de riesgos'!$C$51:$AC$53,4,0)</f>
        <v>Seleccionar</v>
      </c>
      <c r="F151" s="48" t="str">
        <f>VLOOKUP($B$151,'[2]4. Administración de riesgos'!$C$51:$AC$53,5,0)</f>
        <v>Seleccionar</v>
      </c>
      <c r="G151" s="57"/>
      <c r="H151" s="58"/>
    </row>
    <row r="152" spans="2:8" ht="25.5" x14ac:dyDescent="0.25">
      <c r="B152" s="60" t="s">
        <v>505</v>
      </c>
      <c r="C152" s="56" t="s">
        <v>506</v>
      </c>
      <c r="D152" s="21" t="s">
        <v>507</v>
      </c>
      <c r="E152" s="48" t="str">
        <f>VLOOKUP($B$152,'[2]4. Administración de riesgos'!$C$51:$AC$53,4,0)</f>
        <v>Seleccionar</v>
      </c>
      <c r="F152" s="48" t="str">
        <f>VLOOKUP($B$152,'[2]4. Administración de riesgos'!$C$51:$AC$53,5,0)</f>
        <v>Seleccionar</v>
      </c>
      <c r="G152" s="57"/>
      <c r="H152" s="58"/>
    </row>
    <row r="153" spans="2:8" ht="25.5" x14ac:dyDescent="0.25">
      <c r="B153" s="60" t="s">
        <v>508</v>
      </c>
      <c r="C153" s="56" t="s">
        <v>506</v>
      </c>
      <c r="D153" s="21" t="s">
        <v>509</v>
      </c>
      <c r="E153" s="48" t="str">
        <f>VLOOKUP($B$153,'[2]4. Administración de riesgos'!$C$51:$AC$53,4,0)</f>
        <v>Seleccionar</v>
      </c>
      <c r="F153" s="48" t="str">
        <f>VLOOKUP($B$153,'[2]4. Administración de riesgos'!$C$51:$AC$53,5,0)</f>
        <v>Seleccionar</v>
      </c>
      <c r="G153" s="57"/>
      <c r="H153" s="58"/>
    </row>
    <row r="155" spans="2:8" x14ac:dyDescent="0.25">
      <c r="B155" s="73" t="s">
        <v>268</v>
      </c>
      <c r="C155" s="73" t="s">
        <v>269</v>
      </c>
      <c r="D155" s="73" t="s">
        <v>270</v>
      </c>
      <c r="E155" s="136" t="s">
        <v>271</v>
      </c>
      <c r="F155" s="136"/>
      <c r="G155" s="136"/>
      <c r="H155" s="136"/>
    </row>
    <row r="156" spans="2:8" ht="30" x14ac:dyDescent="0.25">
      <c r="B156" s="59">
        <v>4.4000000000000004</v>
      </c>
      <c r="C156" s="59" t="s">
        <v>272</v>
      </c>
      <c r="D156" s="59" t="s">
        <v>510</v>
      </c>
      <c r="E156" s="59" t="s">
        <v>274</v>
      </c>
      <c r="F156" s="59" t="s">
        <v>275</v>
      </c>
      <c r="G156" s="54" t="s">
        <v>276</v>
      </c>
      <c r="H156" s="55" t="s">
        <v>277</v>
      </c>
    </row>
    <row r="157" spans="2:8" ht="89.25" x14ac:dyDescent="0.25">
      <c r="B157" s="60" t="s">
        <v>511</v>
      </c>
      <c r="C157" s="56" t="s">
        <v>512</v>
      </c>
      <c r="D157" s="21" t="s">
        <v>513</v>
      </c>
      <c r="E157" s="48"/>
      <c r="F157" s="48"/>
      <c r="G157" s="57"/>
      <c r="H157" s="58"/>
    </row>
    <row r="159" spans="2:8" x14ac:dyDescent="0.25">
      <c r="B159" s="73" t="s">
        <v>268</v>
      </c>
      <c r="C159" s="73" t="s">
        <v>269</v>
      </c>
      <c r="D159" s="73" t="s">
        <v>270</v>
      </c>
      <c r="E159" s="136" t="s">
        <v>271</v>
      </c>
      <c r="F159" s="136"/>
      <c r="G159" s="136"/>
      <c r="H159" s="136"/>
    </row>
    <row r="160" spans="2:8" ht="30" x14ac:dyDescent="0.25">
      <c r="B160" s="59">
        <v>4.5</v>
      </c>
      <c r="C160" s="59" t="s">
        <v>272</v>
      </c>
      <c r="D160" s="59" t="s">
        <v>514</v>
      </c>
      <c r="E160" s="59" t="s">
        <v>274</v>
      </c>
      <c r="F160" s="59" t="s">
        <v>275</v>
      </c>
      <c r="G160" s="54" t="s">
        <v>276</v>
      </c>
      <c r="H160" s="55" t="s">
        <v>277</v>
      </c>
    </row>
    <row r="161" spans="2:8" ht="31.15" customHeight="1" x14ac:dyDescent="0.25">
      <c r="B161" s="60" t="s">
        <v>515</v>
      </c>
      <c r="C161" s="56" t="s">
        <v>516</v>
      </c>
      <c r="D161" s="21" t="s">
        <v>517</v>
      </c>
      <c r="E161" s="48"/>
      <c r="F161" s="48"/>
      <c r="G161" s="57"/>
      <c r="H161" s="58"/>
    </row>
    <row r="162" spans="2:8" ht="31.15" customHeight="1" x14ac:dyDescent="0.25">
      <c r="B162" s="60" t="s">
        <v>518</v>
      </c>
      <c r="C162" s="56" t="s">
        <v>516</v>
      </c>
      <c r="D162" s="21" t="s">
        <v>519</v>
      </c>
      <c r="E162" s="48"/>
      <c r="F162" s="48"/>
      <c r="G162" s="57"/>
      <c r="H162" s="58"/>
    </row>
    <row r="163" spans="2:8" ht="31.15" customHeight="1" x14ac:dyDescent="0.25">
      <c r="B163" s="60" t="s">
        <v>520</v>
      </c>
      <c r="C163" s="56" t="s">
        <v>516</v>
      </c>
      <c r="D163" s="21" t="s">
        <v>521</v>
      </c>
      <c r="E163" s="48"/>
      <c r="F163" s="48"/>
      <c r="G163" s="57"/>
      <c r="H163" s="58"/>
    </row>
    <row r="164" spans="2:8" ht="31.15" customHeight="1" x14ac:dyDescent="0.25">
      <c r="B164" s="60" t="s">
        <v>522</v>
      </c>
      <c r="C164" s="56" t="s">
        <v>516</v>
      </c>
      <c r="D164" s="21" t="s">
        <v>523</v>
      </c>
      <c r="E164" s="48"/>
      <c r="F164" s="48"/>
      <c r="G164" s="57"/>
      <c r="H164" s="58"/>
    </row>
    <row r="165" spans="2:8" ht="31.15" customHeight="1" x14ac:dyDescent="0.25">
      <c r="B165" s="60" t="s">
        <v>524</v>
      </c>
      <c r="C165" s="56" t="s">
        <v>516</v>
      </c>
      <c r="D165" s="21" t="s">
        <v>525</v>
      </c>
      <c r="E165" s="48"/>
      <c r="F165" s="48"/>
      <c r="G165" s="57"/>
      <c r="H165" s="58"/>
    </row>
    <row r="167" spans="2:8" x14ac:dyDescent="0.25">
      <c r="B167" s="73" t="s">
        <v>268</v>
      </c>
      <c r="C167" s="73" t="s">
        <v>269</v>
      </c>
      <c r="D167" s="73" t="s">
        <v>270</v>
      </c>
      <c r="E167" s="136" t="s">
        <v>271</v>
      </c>
      <c r="F167" s="136"/>
      <c r="G167" s="136"/>
      <c r="H167" s="136"/>
    </row>
    <row r="168" spans="2:8" ht="45" x14ac:dyDescent="0.25">
      <c r="B168" s="59">
        <v>4.5999999999999996</v>
      </c>
      <c r="C168" s="59" t="s">
        <v>272</v>
      </c>
      <c r="D168" s="59" t="s">
        <v>526</v>
      </c>
      <c r="E168" s="59" t="s">
        <v>274</v>
      </c>
      <c r="F168" s="59" t="s">
        <v>275</v>
      </c>
      <c r="G168" s="54" t="s">
        <v>276</v>
      </c>
      <c r="H168" s="55" t="s">
        <v>277</v>
      </c>
    </row>
    <row r="169" spans="2:8" ht="25.5" x14ac:dyDescent="0.25">
      <c r="B169" s="60" t="s">
        <v>527</v>
      </c>
      <c r="C169" s="56" t="s">
        <v>498</v>
      </c>
      <c r="D169" s="21" t="s">
        <v>528</v>
      </c>
      <c r="E169" s="48"/>
      <c r="F169" s="48"/>
      <c r="G169" s="57"/>
      <c r="H169" s="58"/>
    </row>
    <row r="170" spans="2:8" ht="25.5" x14ac:dyDescent="0.25">
      <c r="B170" s="60" t="s">
        <v>529</v>
      </c>
      <c r="C170" s="56" t="s">
        <v>498</v>
      </c>
      <c r="D170" s="21" t="s">
        <v>530</v>
      </c>
      <c r="E170" s="48"/>
      <c r="F170" s="48"/>
      <c r="G170" s="57"/>
      <c r="H170" s="58"/>
    </row>
    <row r="171" spans="2:8" ht="25.5" x14ac:dyDescent="0.25">
      <c r="B171" s="60" t="s">
        <v>531</v>
      </c>
      <c r="C171" s="56" t="s">
        <v>498</v>
      </c>
      <c r="D171" s="21" t="s">
        <v>532</v>
      </c>
      <c r="E171" s="48"/>
      <c r="F171" s="48"/>
      <c r="G171" s="57"/>
      <c r="H171" s="58"/>
    </row>
    <row r="172" spans="2:8" ht="25.5" x14ac:dyDescent="0.25">
      <c r="B172" s="60" t="s">
        <v>533</v>
      </c>
      <c r="C172" s="56" t="s">
        <v>498</v>
      </c>
      <c r="D172" s="21" t="s">
        <v>534</v>
      </c>
      <c r="E172" s="48"/>
      <c r="F172" s="48"/>
      <c r="G172" s="57"/>
      <c r="H172" s="58"/>
    </row>
    <row r="173" spans="2:8" ht="51" x14ac:dyDescent="0.25">
      <c r="B173" s="60" t="s">
        <v>535</v>
      </c>
      <c r="C173" s="56" t="s">
        <v>506</v>
      </c>
      <c r="D173" s="21" t="s">
        <v>536</v>
      </c>
      <c r="E173" s="48"/>
      <c r="F173" s="48"/>
      <c r="G173" s="57"/>
      <c r="H173" s="58"/>
    </row>
    <row r="174" spans="2:8" ht="51" x14ac:dyDescent="0.25">
      <c r="B174" s="60" t="s">
        <v>537</v>
      </c>
      <c r="C174" s="56" t="s">
        <v>506</v>
      </c>
      <c r="D174" s="21" t="s">
        <v>538</v>
      </c>
      <c r="E174" s="48"/>
      <c r="F174" s="48"/>
      <c r="G174" s="57"/>
      <c r="H174" s="58"/>
    </row>
    <row r="175" spans="2:8" ht="63.75" x14ac:dyDescent="0.25">
      <c r="B175" s="60" t="s">
        <v>539</v>
      </c>
      <c r="C175" s="56" t="s">
        <v>506</v>
      </c>
      <c r="D175" s="21" t="s">
        <v>540</v>
      </c>
      <c r="E175" s="48"/>
      <c r="F175" s="48"/>
      <c r="G175" s="57"/>
      <c r="H175" s="58"/>
    </row>
    <row r="176" spans="2:8" ht="25.5" x14ac:dyDescent="0.25">
      <c r="B176" s="60" t="s">
        <v>541</v>
      </c>
      <c r="C176" s="56" t="s">
        <v>542</v>
      </c>
      <c r="D176" s="21" t="s">
        <v>543</v>
      </c>
      <c r="E176" s="48"/>
      <c r="F176" s="48"/>
      <c r="G176" s="57"/>
      <c r="H176" s="58"/>
    </row>
    <row r="177" spans="2:8" ht="25.5" x14ac:dyDescent="0.25">
      <c r="B177" s="60" t="s">
        <v>544</v>
      </c>
      <c r="C177" s="56" t="s">
        <v>545</v>
      </c>
      <c r="D177" s="21" t="s">
        <v>546</v>
      </c>
      <c r="E177" s="48"/>
      <c r="F177" s="48"/>
      <c r="G177" s="57"/>
      <c r="H177" s="58"/>
    </row>
    <row r="178" spans="2:8" ht="63.75" x14ac:dyDescent="0.25">
      <c r="B178" s="60" t="s">
        <v>547</v>
      </c>
      <c r="C178" s="56" t="s">
        <v>548</v>
      </c>
      <c r="D178" s="21" t="s">
        <v>549</v>
      </c>
      <c r="E178" s="48"/>
      <c r="F178" s="48"/>
      <c r="G178" s="57"/>
      <c r="H178" s="58"/>
    </row>
    <row r="179" spans="2:8" ht="63.75" x14ac:dyDescent="0.25">
      <c r="B179" s="60" t="s">
        <v>550</v>
      </c>
      <c r="C179" s="56" t="s">
        <v>548</v>
      </c>
      <c r="D179" s="21" t="s">
        <v>551</v>
      </c>
      <c r="E179" s="48"/>
      <c r="F179" s="48"/>
      <c r="G179" s="57"/>
      <c r="H179" s="58"/>
    </row>
    <row r="180" spans="2:8" ht="51" x14ac:dyDescent="0.25">
      <c r="B180" s="60" t="s">
        <v>552</v>
      </c>
      <c r="C180" s="56" t="s">
        <v>506</v>
      </c>
      <c r="D180" s="21" t="s">
        <v>553</v>
      </c>
      <c r="E180" s="48"/>
      <c r="F180" s="48"/>
      <c r="G180" s="57"/>
      <c r="H180" s="58"/>
    </row>
    <row r="181" spans="2:8" ht="127.5" x14ac:dyDescent="0.25">
      <c r="B181" s="60" t="s">
        <v>554</v>
      </c>
      <c r="C181" s="56" t="s">
        <v>506</v>
      </c>
      <c r="D181" s="21" t="s">
        <v>555</v>
      </c>
      <c r="E181" s="48"/>
      <c r="F181" s="48"/>
      <c r="G181" s="57"/>
      <c r="H181" s="58"/>
    </row>
    <row r="182" spans="2:8" ht="89.25" x14ac:dyDescent="0.25">
      <c r="B182" s="60" t="s">
        <v>554</v>
      </c>
      <c r="C182" s="56" t="s">
        <v>506</v>
      </c>
      <c r="D182" s="21" t="s">
        <v>556</v>
      </c>
      <c r="E182" s="48"/>
      <c r="F182" s="48"/>
      <c r="G182" s="57"/>
      <c r="H182" s="58"/>
    </row>
    <row r="183" spans="2:8" ht="63.75" x14ac:dyDescent="0.25">
      <c r="B183" s="60" t="s">
        <v>554</v>
      </c>
      <c r="C183" s="56" t="s">
        <v>506</v>
      </c>
      <c r="D183" s="21" t="s">
        <v>557</v>
      </c>
      <c r="E183" s="48"/>
      <c r="F183" s="48"/>
      <c r="G183" s="57"/>
      <c r="H183" s="58"/>
    </row>
    <row r="184" spans="2:8" ht="76.5" x14ac:dyDescent="0.25">
      <c r="B184" s="60" t="s">
        <v>554</v>
      </c>
      <c r="C184" s="56" t="s">
        <v>506</v>
      </c>
      <c r="D184" s="21" t="s">
        <v>558</v>
      </c>
      <c r="E184" s="48"/>
      <c r="F184" s="48"/>
      <c r="G184" s="57"/>
      <c r="H184" s="58"/>
    </row>
    <row r="185" spans="2:8" ht="25.5" x14ac:dyDescent="0.25">
      <c r="B185" s="60" t="s">
        <v>559</v>
      </c>
      <c r="C185" s="56" t="s">
        <v>498</v>
      </c>
      <c r="D185" s="21" t="s">
        <v>560</v>
      </c>
      <c r="E185" s="48"/>
      <c r="F185" s="48"/>
      <c r="G185" s="57"/>
      <c r="H185" s="58"/>
    </row>
    <row r="187" spans="2:8" x14ac:dyDescent="0.25">
      <c r="B187" s="73" t="s">
        <v>268</v>
      </c>
      <c r="C187" s="73" t="s">
        <v>269</v>
      </c>
      <c r="D187" s="73" t="s">
        <v>270</v>
      </c>
      <c r="E187" s="136" t="s">
        <v>271</v>
      </c>
      <c r="F187" s="136"/>
      <c r="G187" s="136"/>
      <c r="H187" s="136"/>
    </row>
    <row r="188" spans="2:8" ht="45" x14ac:dyDescent="0.25">
      <c r="B188" s="59">
        <v>4.7</v>
      </c>
      <c r="C188" s="59" t="s">
        <v>272</v>
      </c>
      <c r="D188" s="59" t="s">
        <v>561</v>
      </c>
      <c r="E188" s="59" t="s">
        <v>274</v>
      </c>
      <c r="F188" s="59" t="s">
        <v>275</v>
      </c>
      <c r="G188" s="54" t="s">
        <v>276</v>
      </c>
      <c r="H188" s="55" t="s">
        <v>277</v>
      </c>
    </row>
    <row r="189" spans="2:8" ht="38.25" x14ac:dyDescent="0.25">
      <c r="B189" s="60" t="s">
        <v>562</v>
      </c>
      <c r="C189" s="56" t="s">
        <v>563</v>
      </c>
      <c r="D189" s="21" t="s">
        <v>564</v>
      </c>
      <c r="E189" s="48"/>
      <c r="F189" s="48"/>
      <c r="G189" s="57"/>
      <c r="H189" s="58"/>
    </row>
    <row r="190" spans="2:8" ht="38.25" x14ac:dyDescent="0.25">
      <c r="B190" s="60" t="s">
        <v>565</v>
      </c>
      <c r="C190" s="56" t="s">
        <v>563</v>
      </c>
      <c r="D190" s="21" t="s">
        <v>566</v>
      </c>
      <c r="E190" s="48"/>
      <c r="F190" s="48"/>
      <c r="G190" s="57"/>
      <c r="H190" s="58"/>
    </row>
    <row r="191" spans="2:8" ht="25.5" x14ac:dyDescent="0.25">
      <c r="B191" s="60" t="s">
        <v>567</v>
      </c>
      <c r="C191" s="56" t="s">
        <v>498</v>
      </c>
      <c r="D191" s="21" t="s">
        <v>560</v>
      </c>
      <c r="E191" s="48"/>
      <c r="F191" s="48"/>
      <c r="G191" s="57"/>
      <c r="H191" s="58"/>
    </row>
    <row r="193" spans="2:8" x14ac:dyDescent="0.25">
      <c r="B193" s="73" t="s">
        <v>268</v>
      </c>
      <c r="C193" s="73" t="s">
        <v>269</v>
      </c>
      <c r="D193" s="73" t="s">
        <v>270</v>
      </c>
      <c r="E193" s="136" t="s">
        <v>271</v>
      </c>
      <c r="F193" s="136"/>
      <c r="G193" s="136"/>
      <c r="H193" s="136"/>
    </row>
    <row r="194" spans="2:8" ht="30" x14ac:dyDescent="0.25">
      <c r="B194" s="59">
        <v>4.8</v>
      </c>
      <c r="C194" s="59" t="s">
        <v>272</v>
      </c>
      <c r="D194" s="59" t="s">
        <v>568</v>
      </c>
      <c r="E194" s="59" t="s">
        <v>274</v>
      </c>
      <c r="F194" s="59" t="s">
        <v>275</v>
      </c>
      <c r="G194" s="54" t="s">
        <v>276</v>
      </c>
      <c r="H194" s="55" t="s">
        <v>277</v>
      </c>
    </row>
    <row r="195" spans="2:8" ht="51" x14ac:dyDescent="0.25">
      <c r="B195" s="60" t="s">
        <v>569</v>
      </c>
      <c r="C195" s="56" t="s">
        <v>506</v>
      </c>
      <c r="D195" s="21" t="s">
        <v>570</v>
      </c>
      <c r="E195" s="48"/>
      <c r="F195" s="48"/>
      <c r="G195" s="57"/>
      <c r="H195" s="58"/>
    </row>
    <row r="196" spans="2:8" ht="76.5" x14ac:dyDescent="0.25">
      <c r="B196" s="60" t="s">
        <v>571</v>
      </c>
      <c r="C196" s="56" t="s">
        <v>506</v>
      </c>
      <c r="D196" s="21" t="s">
        <v>572</v>
      </c>
      <c r="E196" s="48"/>
      <c r="F196" s="48"/>
      <c r="G196" s="57"/>
      <c r="H196" s="58"/>
    </row>
    <row r="197" spans="2:8" ht="89.25" x14ac:dyDescent="0.25">
      <c r="B197" s="60" t="s">
        <v>573</v>
      </c>
      <c r="C197" s="56" t="s">
        <v>574</v>
      </c>
      <c r="D197" s="21" t="s">
        <v>575</v>
      </c>
      <c r="E197" s="48"/>
      <c r="F197" s="48"/>
      <c r="G197" s="57"/>
      <c r="H197" s="58"/>
    </row>
    <row r="198" spans="2:8" ht="25.5" x14ac:dyDescent="0.25">
      <c r="B198" s="60" t="s">
        <v>576</v>
      </c>
      <c r="C198" s="56" t="s">
        <v>498</v>
      </c>
      <c r="D198" s="21" t="s">
        <v>577</v>
      </c>
      <c r="E198" s="48"/>
      <c r="F198" s="48"/>
      <c r="G198" s="57"/>
      <c r="H198" s="58"/>
    </row>
    <row r="199" spans="2:8" ht="38.25" x14ac:dyDescent="0.25">
      <c r="B199" s="60" t="s">
        <v>578</v>
      </c>
      <c r="C199" s="56" t="s">
        <v>498</v>
      </c>
      <c r="D199" s="21" t="s">
        <v>579</v>
      </c>
      <c r="E199" s="48"/>
      <c r="F199" s="48"/>
      <c r="G199" s="57"/>
      <c r="H199" s="58"/>
    </row>
    <row r="200" spans="2:8" ht="38.25" x14ac:dyDescent="0.25">
      <c r="B200" s="60" t="s">
        <v>580</v>
      </c>
      <c r="C200" s="56" t="s">
        <v>498</v>
      </c>
      <c r="D200" s="21" t="s">
        <v>581</v>
      </c>
      <c r="E200" s="48"/>
      <c r="F200" s="48"/>
      <c r="G200" s="57"/>
      <c r="H200" s="58"/>
    </row>
    <row r="201" spans="2:8" ht="38.25" x14ac:dyDescent="0.25">
      <c r="B201" s="60" t="s">
        <v>582</v>
      </c>
      <c r="C201" s="56" t="s">
        <v>498</v>
      </c>
      <c r="D201" s="21" t="s">
        <v>583</v>
      </c>
      <c r="E201" s="48"/>
      <c r="F201" s="48"/>
      <c r="G201" s="57"/>
      <c r="H201" s="58"/>
    </row>
    <row r="202" spans="2:8" ht="51" x14ac:dyDescent="0.25">
      <c r="B202" s="60" t="s">
        <v>584</v>
      </c>
      <c r="C202" s="56" t="s">
        <v>506</v>
      </c>
      <c r="D202" s="21" t="s">
        <v>585</v>
      </c>
      <c r="E202" s="48"/>
      <c r="F202" s="48"/>
      <c r="G202" s="57"/>
      <c r="H202" s="58"/>
    </row>
    <row r="203" spans="2:8" ht="51" x14ac:dyDescent="0.25">
      <c r="B203" s="60" t="s">
        <v>586</v>
      </c>
      <c r="C203" s="56" t="s">
        <v>506</v>
      </c>
      <c r="D203" s="21" t="s">
        <v>587</v>
      </c>
      <c r="E203" s="48"/>
      <c r="F203" s="48"/>
      <c r="G203" s="57"/>
      <c r="H203" s="58"/>
    </row>
    <row r="204" spans="2:8" ht="63.75" x14ac:dyDescent="0.25">
      <c r="B204" s="60" t="s">
        <v>588</v>
      </c>
      <c r="C204" s="56" t="s">
        <v>506</v>
      </c>
      <c r="D204" s="21" t="s">
        <v>589</v>
      </c>
      <c r="E204" s="48"/>
      <c r="F204" s="48"/>
      <c r="G204" s="57"/>
      <c r="H204" s="58"/>
    </row>
    <row r="205" spans="2:8" ht="38.25" x14ac:dyDescent="0.25">
      <c r="B205" s="60" t="s">
        <v>590</v>
      </c>
      <c r="C205" s="56" t="s">
        <v>542</v>
      </c>
      <c r="D205" s="21" t="s">
        <v>591</v>
      </c>
      <c r="E205" s="48"/>
      <c r="F205" s="48"/>
      <c r="G205" s="57"/>
      <c r="H205" s="58"/>
    </row>
    <row r="206" spans="2:8" ht="25.5" x14ac:dyDescent="0.25">
      <c r="B206" s="60" t="s">
        <v>592</v>
      </c>
      <c r="C206" s="56" t="s">
        <v>545</v>
      </c>
      <c r="D206" s="21" t="s">
        <v>593</v>
      </c>
      <c r="E206" s="48"/>
      <c r="F206" s="48"/>
      <c r="G206" s="57"/>
      <c r="H206" s="58"/>
    </row>
    <row r="207" spans="2:8" ht="63.75" x14ac:dyDescent="0.25">
      <c r="B207" s="60" t="s">
        <v>594</v>
      </c>
      <c r="C207" s="56" t="s">
        <v>574</v>
      </c>
      <c r="D207" s="21" t="s">
        <v>549</v>
      </c>
      <c r="E207" s="48"/>
      <c r="F207" s="48"/>
      <c r="G207" s="57"/>
      <c r="H207" s="58"/>
    </row>
    <row r="208" spans="2:8" ht="63.75" x14ac:dyDescent="0.25">
      <c r="B208" s="60" t="s">
        <v>595</v>
      </c>
      <c r="C208" s="56" t="s">
        <v>548</v>
      </c>
      <c r="D208" s="21" t="s">
        <v>551</v>
      </c>
      <c r="E208" s="48"/>
      <c r="F208" s="48"/>
      <c r="G208" s="57"/>
      <c r="H208" s="58"/>
    </row>
    <row r="209" spans="2:8" ht="51" x14ac:dyDescent="0.25">
      <c r="B209" s="60" t="s">
        <v>596</v>
      </c>
      <c r="C209" s="56" t="s">
        <v>506</v>
      </c>
      <c r="D209" s="21" t="s">
        <v>597</v>
      </c>
      <c r="E209" s="48"/>
      <c r="F209" s="48"/>
      <c r="G209" s="57"/>
      <c r="H209" s="58"/>
    </row>
    <row r="210" spans="2:8" ht="127.5" x14ac:dyDescent="0.25">
      <c r="B210" s="60" t="s">
        <v>598</v>
      </c>
      <c r="C210" s="56" t="s">
        <v>506</v>
      </c>
      <c r="D210" s="21" t="s">
        <v>599</v>
      </c>
      <c r="E210" s="48"/>
      <c r="F210" s="48"/>
      <c r="G210" s="57"/>
      <c r="H210" s="58"/>
    </row>
    <row r="211" spans="2:8" ht="89.25" x14ac:dyDescent="0.25">
      <c r="B211" s="60" t="s">
        <v>600</v>
      </c>
      <c r="C211" s="56" t="s">
        <v>506</v>
      </c>
      <c r="D211" s="21" t="s">
        <v>601</v>
      </c>
      <c r="E211" s="48"/>
      <c r="F211" s="48"/>
      <c r="G211" s="57"/>
      <c r="H211" s="58"/>
    </row>
    <row r="212" spans="2:8" ht="63.75" x14ac:dyDescent="0.25">
      <c r="B212" s="60" t="s">
        <v>602</v>
      </c>
      <c r="C212" s="56" t="s">
        <v>506</v>
      </c>
      <c r="D212" s="21" t="s">
        <v>603</v>
      </c>
      <c r="E212" s="48"/>
      <c r="F212" s="48"/>
      <c r="G212" s="57"/>
      <c r="H212" s="58"/>
    </row>
    <row r="213" spans="2:8" ht="76.5" x14ac:dyDescent="0.25">
      <c r="B213" s="60" t="s">
        <v>604</v>
      </c>
      <c r="C213" s="56" t="s">
        <v>506</v>
      </c>
      <c r="D213" s="21" t="s">
        <v>605</v>
      </c>
      <c r="E213" s="48"/>
      <c r="F213" s="48"/>
      <c r="G213" s="57"/>
      <c r="H213" s="58"/>
    </row>
    <row r="214" spans="2:8" ht="38.25" x14ac:dyDescent="0.25">
      <c r="B214" s="60" t="s">
        <v>606</v>
      </c>
      <c r="C214" s="56" t="s">
        <v>498</v>
      </c>
      <c r="D214" s="21" t="s">
        <v>607</v>
      </c>
      <c r="E214" s="48"/>
      <c r="F214" s="48"/>
      <c r="G214" s="57"/>
      <c r="H214" s="58"/>
    </row>
    <row r="215" spans="2:8" x14ac:dyDescent="0.25">
      <c r="B215" s="39"/>
      <c r="C215" s="39"/>
      <c r="E215" s="39"/>
      <c r="F215" s="39"/>
      <c r="G215" s="39"/>
      <c r="H215" s="39"/>
    </row>
    <row r="216" spans="2:8" x14ac:dyDescent="0.25">
      <c r="B216" s="73" t="s">
        <v>268</v>
      </c>
      <c r="C216" s="73" t="s">
        <v>269</v>
      </c>
      <c r="D216" s="73" t="s">
        <v>270</v>
      </c>
      <c r="E216" s="136" t="s">
        <v>271</v>
      </c>
      <c r="F216" s="136"/>
      <c r="G216" s="136"/>
      <c r="H216" s="136"/>
    </row>
    <row r="217" spans="2:8" ht="30" x14ac:dyDescent="0.25">
      <c r="B217" s="59">
        <v>4.9000000000000004</v>
      </c>
      <c r="C217" s="59" t="s">
        <v>272</v>
      </c>
      <c r="D217" s="59" t="s">
        <v>608</v>
      </c>
      <c r="E217" s="59" t="s">
        <v>274</v>
      </c>
      <c r="F217" s="59" t="s">
        <v>275</v>
      </c>
      <c r="G217" s="54" t="s">
        <v>276</v>
      </c>
      <c r="H217" s="55" t="s">
        <v>277</v>
      </c>
    </row>
    <row r="218" spans="2:8" ht="25.5" x14ac:dyDescent="0.25">
      <c r="B218" s="60" t="s">
        <v>609</v>
      </c>
      <c r="C218" s="56" t="s">
        <v>506</v>
      </c>
      <c r="D218" s="21" t="s">
        <v>610</v>
      </c>
      <c r="E218" s="48"/>
      <c r="F218" s="48"/>
      <c r="G218" s="57"/>
      <c r="H218" s="58"/>
    </row>
    <row r="219" spans="2:8" ht="51" x14ac:dyDescent="0.25">
      <c r="B219" s="60" t="s">
        <v>611</v>
      </c>
      <c r="C219" s="56" t="s">
        <v>506</v>
      </c>
      <c r="D219" s="21" t="s">
        <v>612</v>
      </c>
      <c r="E219" s="48"/>
      <c r="F219" s="48"/>
      <c r="G219" s="57"/>
      <c r="H219" s="58"/>
    </row>
    <row r="220" spans="2:8" ht="89.25" x14ac:dyDescent="0.25">
      <c r="B220" s="60" t="s">
        <v>613</v>
      </c>
      <c r="C220" s="56" t="s">
        <v>574</v>
      </c>
      <c r="D220" s="21" t="s">
        <v>575</v>
      </c>
      <c r="E220" s="48"/>
      <c r="F220" s="48"/>
      <c r="G220" s="57"/>
      <c r="H220" s="58"/>
    </row>
    <row r="221" spans="2:8" ht="38.25" x14ac:dyDescent="0.25">
      <c r="B221" s="60" t="s">
        <v>614</v>
      </c>
      <c r="C221" s="56" t="s">
        <v>498</v>
      </c>
      <c r="D221" s="21" t="s">
        <v>607</v>
      </c>
      <c r="E221" s="48"/>
      <c r="F221" s="48"/>
      <c r="G221" s="57"/>
      <c r="H221" s="58"/>
    </row>
    <row r="222" spans="2:8" ht="25.5" x14ac:dyDescent="0.25">
      <c r="B222" s="60" t="s">
        <v>615</v>
      </c>
      <c r="C222" s="56" t="s">
        <v>498</v>
      </c>
      <c r="D222" s="21" t="s">
        <v>577</v>
      </c>
      <c r="E222" s="48"/>
      <c r="F222" s="48"/>
      <c r="G222" s="57"/>
      <c r="H222" s="58"/>
    </row>
    <row r="223" spans="2:8" ht="38.25" x14ac:dyDescent="0.25">
      <c r="B223" s="60" t="s">
        <v>616</v>
      </c>
      <c r="C223" s="56" t="s">
        <v>498</v>
      </c>
      <c r="D223" s="21" t="s">
        <v>579</v>
      </c>
      <c r="E223" s="48"/>
      <c r="F223" s="48"/>
      <c r="G223" s="57"/>
      <c r="H223" s="58"/>
    </row>
    <row r="224" spans="2:8" ht="38.25" x14ac:dyDescent="0.25">
      <c r="B224" s="60" t="s">
        <v>617</v>
      </c>
      <c r="C224" s="56" t="s">
        <v>498</v>
      </c>
      <c r="D224" s="21" t="s">
        <v>581</v>
      </c>
      <c r="E224" s="48"/>
      <c r="F224" s="48"/>
      <c r="G224" s="57"/>
      <c r="H224" s="58"/>
    </row>
    <row r="225" spans="2:8" ht="38.25" x14ac:dyDescent="0.25">
      <c r="B225" s="60" t="s">
        <v>618</v>
      </c>
      <c r="C225" s="56" t="s">
        <v>498</v>
      </c>
      <c r="D225" s="21" t="s">
        <v>583</v>
      </c>
      <c r="E225" s="48"/>
      <c r="F225" s="48"/>
      <c r="G225" s="57"/>
      <c r="H225" s="58"/>
    </row>
    <row r="226" spans="2:8" ht="51" x14ac:dyDescent="0.25">
      <c r="B226" s="60" t="s">
        <v>619</v>
      </c>
      <c r="C226" s="56" t="s">
        <v>506</v>
      </c>
      <c r="D226" s="21" t="s">
        <v>585</v>
      </c>
      <c r="E226" s="48"/>
      <c r="F226" s="48"/>
      <c r="G226" s="57"/>
      <c r="H226" s="58"/>
    </row>
    <row r="227" spans="2:8" ht="51" x14ac:dyDescent="0.25">
      <c r="B227" s="60" t="s">
        <v>620</v>
      </c>
      <c r="C227" s="56" t="s">
        <v>506</v>
      </c>
      <c r="D227" s="21" t="s">
        <v>587</v>
      </c>
      <c r="E227" s="48"/>
      <c r="F227" s="48"/>
      <c r="G227" s="57"/>
      <c r="H227" s="58"/>
    </row>
    <row r="228" spans="2:8" ht="63.75" x14ac:dyDescent="0.25">
      <c r="B228" s="60" t="s">
        <v>621</v>
      </c>
      <c r="C228" s="56" t="s">
        <v>506</v>
      </c>
      <c r="D228" s="21" t="s">
        <v>589</v>
      </c>
      <c r="E228" s="48"/>
      <c r="F228" s="48"/>
      <c r="G228" s="57"/>
      <c r="H228" s="58"/>
    </row>
    <row r="229" spans="2:8" ht="38.25" x14ac:dyDescent="0.25">
      <c r="B229" s="60" t="s">
        <v>622</v>
      </c>
      <c r="C229" s="56" t="s">
        <v>542</v>
      </c>
      <c r="D229" s="21" t="s">
        <v>591</v>
      </c>
      <c r="E229" s="48"/>
      <c r="F229" s="48"/>
      <c r="G229" s="57"/>
      <c r="H229" s="58"/>
    </row>
    <row r="230" spans="2:8" ht="25.5" x14ac:dyDescent="0.25">
      <c r="B230" s="60" t="s">
        <v>623</v>
      </c>
      <c r="C230" s="56" t="s">
        <v>545</v>
      </c>
      <c r="D230" s="21" t="s">
        <v>593</v>
      </c>
      <c r="E230" s="48"/>
      <c r="F230" s="48"/>
      <c r="G230" s="57"/>
      <c r="H230" s="58"/>
    </row>
    <row r="231" spans="2:8" ht="63.75" x14ac:dyDescent="0.25">
      <c r="B231" s="60" t="s">
        <v>624</v>
      </c>
      <c r="C231" s="56" t="s">
        <v>574</v>
      </c>
      <c r="D231" s="21" t="s">
        <v>549</v>
      </c>
      <c r="E231" s="48"/>
      <c r="F231" s="48"/>
      <c r="G231" s="57"/>
      <c r="H231" s="58"/>
    </row>
    <row r="232" spans="2:8" ht="63.75" x14ac:dyDescent="0.25">
      <c r="B232" s="60" t="s">
        <v>625</v>
      </c>
      <c r="C232" s="56" t="s">
        <v>548</v>
      </c>
      <c r="D232" s="21" t="s">
        <v>551</v>
      </c>
      <c r="E232" s="48"/>
      <c r="F232" s="48"/>
      <c r="G232" s="57"/>
      <c r="H232" s="58"/>
    </row>
    <row r="233" spans="2:8" ht="51" x14ac:dyDescent="0.25">
      <c r="B233" s="60" t="s">
        <v>626</v>
      </c>
      <c r="C233" s="56" t="s">
        <v>506</v>
      </c>
      <c r="D233" s="21" t="s">
        <v>597</v>
      </c>
      <c r="E233" s="48"/>
      <c r="F233" s="48"/>
      <c r="G233" s="57"/>
      <c r="H233" s="58"/>
    </row>
    <row r="234" spans="2:8" ht="127.5" x14ac:dyDescent="0.25">
      <c r="B234" s="60" t="s">
        <v>627</v>
      </c>
      <c r="C234" s="56" t="s">
        <v>506</v>
      </c>
      <c r="D234" s="21" t="s">
        <v>599</v>
      </c>
      <c r="E234" s="48"/>
      <c r="F234" s="48"/>
      <c r="G234" s="57"/>
      <c r="H234" s="58"/>
    </row>
    <row r="235" spans="2:8" ht="89.25" x14ac:dyDescent="0.25">
      <c r="B235" s="60" t="s">
        <v>628</v>
      </c>
      <c r="C235" s="56" t="s">
        <v>506</v>
      </c>
      <c r="D235" s="21" t="s">
        <v>601</v>
      </c>
      <c r="E235" s="48"/>
      <c r="F235" s="48"/>
      <c r="G235" s="57"/>
      <c r="H235" s="58"/>
    </row>
    <row r="236" spans="2:8" ht="63.75" x14ac:dyDescent="0.25">
      <c r="B236" s="60" t="s">
        <v>629</v>
      </c>
      <c r="C236" s="56" t="s">
        <v>506</v>
      </c>
      <c r="D236" s="21" t="s">
        <v>603</v>
      </c>
      <c r="E236" s="48"/>
      <c r="F236" s="48"/>
      <c r="G236" s="57"/>
      <c r="H236" s="58"/>
    </row>
    <row r="237" spans="2:8" ht="76.5" x14ac:dyDescent="0.25">
      <c r="B237" s="60" t="s">
        <v>630</v>
      </c>
      <c r="C237" s="56" t="s">
        <v>506</v>
      </c>
      <c r="D237" s="21" t="s">
        <v>605</v>
      </c>
      <c r="E237" s="48"/>
      <c r="F237" s="48"/>
      <c r="G237" s="57"/>
      <c r="H237" s="58"/>
    </row>
    <row r="238" spans="2:8" ht="38.25" x14ac:dyDescent="0.25">
      <c r="B238" s="60" t="s">
        <v>631</v>
      </c>
      <c r="C238" s="56" t="s">
        <v>506</v>
      </c>
      <c r="D238" s="21" t="s">
        <v>632</v>
      </c>
      <c r="E238" s="48"/>
      <c r="F238" s="48"/>
      <c r="G238" s="57"/>
      <c r="H238" s="58"/>
    </row>
    <row r="239" spans="2:8" ht="38.25" x14ac:dyDescent="0.25">
      <c r="B239" s="60" t="s">
        <v>633</v>
      </c>
      <c r="C239" s="56" t="s">
        <v>498</v>
      </c>
      <c r="D239" s="21" t="s">
        <v>607</v>
      </c>
      <c r="E239" s="48"/>
      <c r="F239" s="48"/>
      <c r="G239" s="57"/>
      <c r="H239" s="58"/>
    </row>
    <row r="240" spans="2:8" ht="13.5" thickBot="1" x14ac:dyDescent="0.3"/>
    <row r="241" spans="1:8" s="69" customFormat="1" ht="24.6" customHeight="1" thickBot="1" x14ac:dyDescent="0.3">
      <c r="A241" s="72">
        <v>5</v>
      </c>
      <c r="B241" s="142" t="s">
        <v>266</v>
      </c>
      <c r="C241" s="143"/>
      <c r="D241" s="68" t="s">
        <v>634</v>
      </c>
      <c r="F241" s="70"/>
      <c r="G241" s="70"/>
      <c r="H241" s="70"/>
    </row>
    <row r="242" spans="1:8" s="69" customFormat="1" ht="15" x14ac:dyDescent="0.25">
      <c r="C242" s="70"/>
      <c r="D242" s="70"/>
      <c r="F242" s="70"/>
      <c r="G242" s="70"/>
      <c r="H242" s="70"/>
    </row>
    <row r="243" spans="1:8" x14ac:dyDescent="0.25">
      <c r="B243" s="73" t="s">
        <v>268</v>
      </c>
      <c r="C243" s="73" t="s">
        <v>269</v>
      </c>
      <c r="D243" s="73" t="s">
        <v>270</v>
      </c>
      <c r="E243" s="136" t="s">
        <v>271</v>
      </c>
      <c r="F243" s="136"/>
      <c r="G243" s="136"/>
      <c r="H243" s="136"/>
    </row>
    <row r="244" spans="1:8" ht="45" x14ac:dyDescent="0.25">
      <c r="B244" s="59">
        <v>5.0999999999999996</v>
      </c>
      <c r="C244" s="59" t="s">
        <v>272</v>
      </c>
      <c r="D244" s="59" t="s">
        <v>635</v>
      </c>
      <c r="E244" s="59" t="s">
        <v>274</v>
      </c>
      <c r="F244" s="59" t="s">
        <v>275</v>
      </c>
      <c r="G244" s="54" t="s">
        <v>276</v>
      </c>
      <c r="H244" s="55" t="s">
        <v>277</v>
      </c>
    </row>
    <row r="245" spans="1:8" ht="24.6" customHeight="1" x14ac:dyDescent="0.25">
      <c r="B245" s="60" t="s">
        <v>636</v>
      </c>
      <c r="C245" s="56" t="s">
        <v>637</v>
      </c>
      <c r="D245" s="21" t="s">
        <v>638</v>
      </c>
      <c r="E245" s="48"/>
      <c r="F245" s="48"/>
      <c r="G245" s="57"/>
      <c r="H245" s="58"/>
    </row>
    <row r="246" spans="1:8" ht="51" x14ac:dyDescent="0.25">
      <c r="B246" s="60" t="s">
        <v>639</v>
      </c>
      <c r="C246" s="56" t="s">
        <v>637</v>
      </c>
      <c r="D246" s="21" t="s">
        <v>640</v>
      </c>
      <c r="E246" s="48"/>
      <c r="F246" s="48"/>
      <c r="G246" s="57"/>
      <c r="H246" s="58"/>
    </row>
    <row r="247" spans="1:8" ht="25.5" x14ac:dyDescent="0.25">
      <c r="B247" s="60" t="s">
        <v>641</v>
      </c>
      <c r="C247" s="56" t="s">
        <v>637</v>
      </c>
      <c r="D247" s="21" t="s">
        <v>642</v>
      </c>
      <c r="E247" s="48"/>
      <c r="F247" s="48"/>
      <c r="G247" s="57"/>
      <c r="H247" s="58"/>
    </row>
    <row r="248" spans="1:8" ht="38.25" x14ac:dyDescent="0.25">
      <c r="B248" s="60" t="s">
        <v>643</v>
      </c>
      <c r="C248" s="56" t="s">
        <v>644</v>
      </c>
      <c r="D248" s="21" t="s">
        <v>645</v>
      </c>
      <c r="E248" s="48"/>
      <c r="F248" s="48"/>
      <c r="G248" s="57"/>
      <c r="H248" s="58"/>
    </row>
    <row r="249" spans="1:8" ht="25.5" x14ac:dyDescent="0.25">
      <c r="B249" s="60" t="s">
        <v>646</v>
      </c>
      <c r="C249" s="56" t="s">
        <v>637</v>
      </c>
      <c r="D249" s="21" t="s">
        <v>647</v>
      </c>
      <c r="E249" s="48"/>
      <c r="F249" s="48"/>
      <c r="G249" s="57"/>
      <c r="H249" s="58"/>
    </row>
    <row r="251" spans="1:8" x14ac:dyDescent="0.25">
      <c r="B251" s="73" t="s">
        <v>268</v>
      </c>
      <c r="C251" s="73" t="s">
        <v>269</v>
      </c>
      <c r="D251" s="73" t="s">
        <v>270</v>
      </c>
      <c r="E251" s="136" t="s">
        <v>271</v>
      </c>
      <c r="F251" s="136"/>
      <c r="G251" s="136"/>
      <c r="H251" s="136"/>
    </row>
    <row r="252" spans="1:8" ht="45" x14ac:dyDescent="0.25">
      <c r="B252" s="59">
        <v>5.2</v>
      </c>
      <c r="C252" s="59" t="s">
        <v>272</v>
      </c>
      <c r="D252" s="59" t="s">
        <v>648</v>
      </c>
      <c r="E252" s="59" t="s">
        <v>274</v>
      </c>
      <c r="F252" s="59" t="s">
        <v>275</v>
      </c>
      <c r="G252" s="54" t="s">
        <v>276</v>
      </c>
      <c r="H252" s="55" t="s">
        <v>277</v>
      </c>
    </row>
    <row r="253" spans="1:8" ht="25.5" x14ac:dyDescent="0.25">
      <c r="B253" s="60" t="s">
        <v>649</v>
      </c>
      <c r="C253" s="56" t="s">
        <v>650</v>
      </c>
      <c r="D253" s="21" t="s">
        <v>651</v>
      </c>
      <c r="E253" s="48"/>
      <c r="F253" s="48"/>
      <c r="G253" s="57"/>
      <c r="H253" s="58"/>
    </row>
    <row r="254" spans="1:8" ht="102" x14ac:dyDescent="0.25">
      <c r="B254" s="60" t="s">
        <v>652</v>
      </c>
      <c r="C254" s="56" t="s">
        <v>637</v>
      </c>
      <c r="D254" s="21" t="s">
        <v>653</v>
      </c>
      <c r="E254" s="48"/>
      <c r="F254" s="48"/>
      <c r="G254" s="57"/>
      <c r="H254" s="58"/>
    </row>
    <row r="256" spans="1:8" x14ac:dyDescent="0.25">
      <c r="B256" s="73" t="s">
        <v>268</v>
      </c>
      <c r="C256" s="73" t="s">
        <v>269</v>
      </c>
      <c r="D256" s="73" t="s">
        <v>270</v>
      </c>
      <c r="E256" s="136" t="s">
        <v>271</v>
      </c>
      <c r="F256" s="136"/>
      <c r="G256" s="136"/>
      <c r="H256" s="136"/>
    </row>
    <row r="257" spans="1:8" ht="45" x14ac:dyDescent="0.25">
      <c r="B257" s="59">
        <v>5.3</v>
      </c>
      <c r="C257" s="59" t="s">
        <v>272</v>
      </c>
      <c r="D257" s="59" t="s">
        <v>654</v>
      </c>
      <c r="E257" s="59" t="s">
        <v>274</v>
      </c>
      <c r="F257" s="59" t="s">
        <v>275</v>
      </c>
      <c r="G257" s="54" t="s">
        <v>276</v>
      </c>
      <c r="H257" s="55" t="s">
        <v>277</v>
      </c>
    </row>
    <row r="258" spans="1:8" ht="63.75" x14ac:dyDescent="0.25">
      <c r="B258" s="60" t="s">
        <v>655</v>
      </c>
      <c r="C258" s="56" t="s">
        <v>656</v>
      </c>
      <c r="D258" s="21" t="s">
        <v>657</v>
      </c>
      <c r="E258" s="48"/>
      <c r="F258" s="48"/>
      <c r="G258" s="57"/>
      <c r="H258" s="58"/>
    </row>
    <row r="259" spans="1:8" ht="76.5" x14ac:dyDescent="0.25">
      <c r="B259" s="60" t="s">
        <v>658</v>
      </c>
      <c r="C259" s="56" t="s">
        <v>656</v>
      </c>
      <c r="D259" s="21" t="s">
        <v>659</v>
      </c>
      <c r="E259" s="48"/>
      <c r="F259" s="48"/>
      <c r="G259" s="57"/>
      <c r="H259" s="58"/>
    </row>
    <row r="260" spans="1:8" ht="76.5" x14ac:dyDescent="0.25">
      <c r="B260" s="60" t="s">
        <v>660</v>
      </c>
      <c r="C260" s="56" t="s">
        <v>656</v>
      </c>
      <c r="D260" s="21" t="s">
        <v>661</v>
      </c>
      <c r="E260" s="48"/>
      <c r="F260" s="48"/>
      <c r="G260" s="57"/>
      <c r="H260" s="58"/>
    </row>
    <row r="261" spans="1:8" ht="63.75" x14ac:dyDescent="0.25">
      <c r="B261" s="60" t="s">
        <v>662</v>
      </c>
      <c r="C261" s="56" t="s">
        <v>663</v>
      </c>
      <c r="D261" s="21" t="s">
        <v>664</v>
      </c>
      <c r="E261" s="48"/>
      <c r="F261" s="48"/>
      <c r="G261" s="57"/>
      <c r="H261" s="58"/>
    </row>
    <row r="263" spans="1:8" x14ac:dyDescent="0.25">
      <c r="B263" s="73" t="s">
        <v>268</v>
      </c>
      <c r="C263" s="73" t="s">
        <v>269</v>
      </c>
      <c r="D263" s="73" t="s">
        <v>270</v>
      </c>
      <c r="E263" s="136" t="s">
        <v>271</v>
      </c>
      <c r="F263" s="136"/>
      <c r="G263" s="136"/>
      <c r="H263" s="136"/>
    </row>
    <row r="264" spans="1:8" ht="45" x14ac:dyDescent="0.25">
      <c r="B264" s="59">
        <v>5.4</v>
      </c>
      <c r="C264" s="59" t="s">
        <v>272</v>
      </c>
      <c r="D264" s="59" t="s">
        <v>665</v>
      </c>
      <c r="E264" s="59" t="s">
        <v>274</v>
      </c>
      <c r="F264" s="59" t="s">
        <v>275</v>
      </c>
      <c r="G264" s="54" t="s">
        <v>276</v>
      </c>
      <c r="H264" s="55" t="s">
        <v>277</v>
      </c>
    </row>
    <row r="265" spans="1:8" ht="89.25" x14ac:dyDescent="0.25">
      <c r="B265" s="60" t="s">
        <v>666</v>
      </c>
      <c r="C265" s="56" t="s">
        <v>656</v>
      </c>
      <c r="D265" s="21" t="s">
        <v>667</v>
      </c>
      <c r="E265" s="48"/>
      <c r="F265" s="48"/>
      <c r="G265" s="57"/>
      <c r="H265" s="58"/>
    </row>
    <row r="266" spans="1:8" ht="63.75" x14ac:dyDescent="0.25">
      <c r="B266" s="60" t="s">
        <v>668</v>
      </c>
      <c r="C266" s="56" t="s">
        <v>663</v>
      </c>
      <c r="D266" s="21" t="s">
        <v>669</v>
      </c>
      <c r="E266" s="48"/>
      <c r="F266" s="48"/>
      <c r="G266" s="57"/>
      <c r="H266" s="58"/>
    </row>
    <row r="267" spans="1:8" ht="38.25" x14ac:dyDescent="0.25">
      <c r="B267" s="60" t="s">
        <v>670</v>
      </c>
      <c r="C267" s="56" t="s">
        <v>671</v>
      </c>
      <c r="D267" s="21" t="s">
        <v>672</v>
      </c>
      <c r="E267" s="48"/>
      <c r="F267" s="48"/>
      <c r="G267" s="57"/>
      <c r="H267" s="58"/>
    </row>
    <row r="268" spans="1:8" ht="38.25" x14ac:dyDescent="0.25">
      <c r="B268" s="60" t="s">
        <v>673</v>
      </c>
      <c r="C268" s="56" t="s">
        <v>671</v>
      </c>
      <c r="D268" s="21" t="s">
        <v>674</v>
      </c>
      <c r="E268" s="48"/>
      <c r="F268" s="48"/>
      <c r="G268" s="57"/>
      <c r="H268" s="58"/>
    </row>
    <row r="269" spans="1:8" ht="13.5" thickBot="1" x14ac:dyDescent="0.3">
      <c r="B269" s="39"/>
      <c r="C269" s="39"/>
      <c r="E269" s="39"/>
      <c r="F269" s="39"/>
      <c r="G269" s="39"/>
      <c r="H269" s="39"/>
    </row>
    <row r="270" spans="1:8" ht="31.9" customHeight="1" thickBot="1" x14ac:dyDescent="0.3">
      <c r="A270" s="72">
        <v>6</v>
      </c>
      <c r="B270" s="142" t="s">
        <v>266</v>
      </c>
      <c r="C270" s="143"/>
      <c r="D270" s="68" t="s">
        <v>675</v>
      </c>
    </row>
    <row r="271" spans="1:8" x14ac:dyDescent="0.25">
      <c r="B271" s="39"/>
      <c r="C271" s="39"/>
      <c r="E271" s="39"/>
      <c r="F271" s="39"/>
      <c r="G271" s="39"/>
      <c r="H271" s="39"/>
    </row>
    <row r="272" spans="1:8" x14ac:dyDescent="0.25">
      <c r="B272" s="73" t="s">
        <v>268</v>
      </c>
      <c r="C272" s="73" t="s">
        <v>269</v>
      </c>
      <c r="D272" s="73" t="s">
        <v>270</v>
      </c>
      <c r="E272" s="136" t="s">
        <v>271</v>
      </c>
      <c r="F272" s="136"/>
      <c r="G272" s="136"/>
      <c r="H272" s="136"/>
    </row>
    <row r="273" spans="1:8" ht="30" x14ac:dyDescent="0.25">
      <c r="B273" s="59">
        <v>6.1</v>
      </c>
      <c r="C273" s="59" t="s">
        <v>272</v>
      </c>
      <c r="D273" s="59" t="s">
        <v>676</v>
      </c>
      <c r="E273" s="59" t="s">
        <v>274</v>
      </c>
      <c r="F273" s="59" t="s">
        <v>275</v>
      </c>
      <c r="G273" s="54" t="s">
        <v>276</v>
      </c>
      <c r="H273" s="55" t="s">
        <v>277</v>
      </c>
    </row>
    <row r="274" spans="1:8" ht="25.5" x14ac:dyDescent="0.25">
      <c r="B274" s="60" t="s">
        <v>677</v>
      </c>
      <c r="C274" s="56" t="s">
        <v>678</v>
      </c>
      <c r="D274" s="21" t="s">
        <v>679</v>
      </c>
      <c r="E274" s="48"/>
      <c r="F274" s="48"/>
      <c r="G274" s="57"/>
      <c r="H274" s="58"/>
    </row>
    <row r="275" spans="1:8" ht="25.5" x14ac:dyDescent="0.25">
      <c r="B275" s="60" t="s">
        <v>680</v>
      </c>
      <c r="C275" s="56" t="s">
        <v>678</v>
      </c>
      <c r="D275" s="21" t="s">
        <v>681</v>
      </c>
      <c r="E275" s="48"/>
      <c r="F275" s="48"/>
      <c r="G275" s="57"/>
      <c r="H275" s="58"/>
    </row>
    <row r="276" spans="1:8" ht="25.5" x14ac:dyDescent="0.25">
      <c r="B276" s="60" t="s">
        <v>682</v>
      </c>
      <c r="C276" s="56" t="s">
        <v>678</v>
      </c>
      <c r="D276" s="21" t="s">
        <v>683</v>
      </c>
      <c r="E276" s="48"/>
      <c r="F276" s="48"/>
      <c r="G276" s="57"/>
      <c r="H276" s="58"/>
    </row>
    <row r="277" spans="1:8" ht="38.25" x14ac:dyDescent="0.25">
      <c r="B277" s="60" t="s">
        <v>684</v>
      </c>
      <c r="C277" s="56" t="s">
        <v>678</v>
      </c>
      <c r="D277" s="21" t="s">
        <v>685</v>
      </c>
      <c r="E277" s="48"/>
      <c r="F277" s="48"/>
      <c r="G277" s="57"/>
      <c r="H277" s="58"/>
    </row>
    <row r="279" spans="1:8" ht="28.9" customHeight="1" x14ac:dyDescent="0.25">
      <c r="B279" s="73" t="s">
        <v>268</v>
      </c>
      <c r="C279" s="73" t="s">
        <v>269</v>
      </c>
      <c r="D279" s="73" t="s">
        <v>270</v>
      </c>
      <c r="E279" s="136" t="s">
        <v>271</v>
      </c>
      <c r="F279" s="136"/>
      <c r="G279" s="136"/>
      <c r="H279" s="136"/>
    </row>
    <row r="280" spans="1:8" ht="45" x14ac:dyDescent="0.25">
      <c r="B280" s="59">
        <v>6.2</v>
      </c>
      <c r="C280" s="59" t="s">
        <v>272</v>
      </c>
      <c r="D280" s="59" t="s">
        <v>686</v>
      </c>
      <c r="E280" s="59" t="s">
        <v>274</v>
      </c>
      <c r="F280" s="59" t="s">
        <v>275</v>
      </c>
      <c r="G280" s="54" t="s">
        <v>276</v>
      </c>
      <c r="H280" s="55" t="s">
        <v>277</v>
      </c>
    </row>
    <row r="281" spans="1:8" ht="38.25" x14ac:dyDescent="0.25">
      <c r="B281" s="60" t="s">
        <v>687</v>
      </c>
      <c r="C281" s="56" t="s">
        <v>678</v>
      </c>
      <c r="D281" s="21" t="s">
        <v>688</v>
      </c>
      <c r="E281" s="48"/>
      <c r="F281" s="48"/>
      <c r="G281" s="57"/>
      <c r="H281" s="58"/>
    </row>
    <row r="282" spans="1:8" ht="25.5" x14ac:dyDescent="0.25">
      <c r="B282" s="60" t="s">
        <v>689</v>
      </c>
      <c r="C282" s="56" t="s">
        <v>678</v>
      </c>
      <c r="D282" s="21" t="s">
        <v>690</v>
      </c>
      <c r="E282" s="48"/>
      <c r="F282" s="48"/>
      <c r="G282" s="57"/>
      <c r="H282" s="58"/>
    </row>
    <row r="283" spans="1:8" ht="25.5" x14ac:dyDescent="0.25">
      <c r="B283" s="60" t="s">
        <v>691</v>
      </c>
      <c r="C283" s="56" t="s">
        <v>678</v>
      </c>
      <c r="D283" s="21" t="s">
        <v>692</v>
      </c>
      <c r="E283" s="48"/>
      <c r="F283" s="48"/>
      <c r="G283" s="57"/>
      <c r="H283" s="58"/>
    </row>
    <row r="284" spans="1:8" ht="25.5" x14ac:dyDescent="0.25">
      <c r="B284" s="60" t="s">
        <v>693</v>
      </c>
      <c r="C284" s="56" t="s">
        <v>678</v>
      </c>
      <c r="D284" s="21" t="s">
        <v>694</v>
      </c>
      <c r="E284" s="48"/>
      <c r="F284" s="48"/>
      <c r="G284" s="57"/>
      <c r="H284" s="58"/>
    </row>
    <row r="285" spans="1:8" ht="25.5" x14ac:dyDescent="0.25">
      <c r="B285" s="60" t="s">
        <v>695</v>
      </c>
      <c r="C285" s="56" t="s">
        <v>678</v>
      </c>
      <c r="D285" s="21" t="s">
        <v>696</v>
      </c>
      <c r="E285" s="48"/>
      <c r="F285" s="48"/>
      <c r="G285" s="57"/>
      <c r="H285" s="58"/>
    </row>
    <row r="286" spans="1:8" ht="13.5" thickBot="1" x14ac:dyDescent="0.3"/>
    <row r="287" spans="1:8" s="69" customFormat="1" ht="24.6" customHeight="1" thickBot="1" x14ac:dyDescent="0.3">
      <c r="A287" s="72">
        <v>7</v>
      </c>
      <c r="B287" s="142" t="s">
        <v>266</v>
      </c>
      <c r="C287" s="143"/>
      <c r="D287" s="68" t="s">
        <v>697</v>
      </c>
      <c r="F287" s="70"/>
      <c r="G287" s="70"/>
      <c r="H287" s="70"/>
    </row>
    <row r="288" spans="1:8" s="69" customFormat="1" ht="15" x14ac:dyDescent="0.25">
      <c r="C288" s="70"/>
      <c r="D288" s="70"/>
      <c r="F288" s="70"/>
      <c r="G288" s="70"/>
      <c r="H288" s="70"/>
    </row>
    <row r="289" spans="1:8" x14ac:dyDescent="0.25">
      <c r="B289" s="73" t="s">
        <v>268</v>
      </c>
      <c r="C289" s="73" t="s">
        <v>269</v>
      </c>
      <c r="D289" s="73" t="s">
        <v>270</v>
      </c>
      <c r="E289" s="136" t="s">
        <v>271</v>
      </c>
      <c r="F289" s="136"/>
      <c r="G289" s="136"/>
      <c r="H289" s="136"/>
    </row>
    <row r="290" spans="1:8" ht="30" x14ac:dyDescent="0.25">
      <c r="B290" s="59">
        <v>7.1</v>
      </c>
      <c r="C290" s="59" t="s">
        <v>272</v>
      </c>
      <c r="D290" s="59" t="s">
        <v>698</v>
      </c>
      <c r="E290" s="59" t="s">
        <v>274</v>
      </c>
      <c r="F290" s="59" t="s">
        <v>275</v>
      </c>
      <c r="G290" s="54" t="s">
        <v>276</v>
      </c>
      <c r="H290" s="55" t="s">
        <v>277</v>
      </c>
    </row>
    <row r="291" spans="1:8" ht="25.5" x14ac:dyDescent="0.25">
      <c r="B291" s="60" t="s">
        <v>699</v>
      </c>
      <c r="C291" s="56" t="s">
        <v>462</v>
      </c>
      <c r="D291" s="21" t="s">
        <v>700</v>
      </c>
      <c r="E291" s="48"/>
      <c r="F291" s="48"/>
      <c r="G291" s="57"/>
      <c r="H291" s="58"/>
    </row>
    <row r="292" spans="1:8" ht="25.5" x14ac:dyDescent="0.25">
      <c r="B292" s="60" t="s">
        <v>701</v>
      </c>
      <c r="C292" s="56" t="s">
        <v>462</v>
      </c>
      <c r="D292" s="21" t="s">
        <v>702</v>
      </c>
      <c r="E292" s="48"/>
      <c r="F292" s="48"/>
      <c r="G292" s="57"/>
      <c r="H292" s="58"/>
    </row>
    <row r="293" spans="1:8" ht="15" x14ac:dyDescent="0.25">
      <c r="B293" s="60" t="s">
        <v>703</v>
      </c>
      <c r="C293" s="56" t="s">
        <v>462</v>
      </c>
      <c r="D293" s="21" t="s">
        <v>704</v>
      </c>
      <c r="E293" s="48"/>
      <c r="F293" s="48"/>
      <c r="G293" s="57"/>
      <c r="H293" s="58"/>
    </row>
    <row r="294" spans="1:8" ht="15" x14ac:dyDescent="0.25">
      <c r="B294" s="60" t="s">
        <v>705</v>
      </c>
      <c r="C294" s="56" t="s">
        <v>462</v>
      </c>
      <c r="D294" s="21" t="s">
        <v>706</v>
      </c>
      <c r="E294" s="48"/>
      <c r="F294" s="48"/>
      <c r="G294" s="57"/>
      <c r="H294" s="58"/>
    </row>
    <row r="295" spans="1:8" ht="15" x14ac:dyDescent="0.25">
      <c r="B295" s="60" t="s">
        <v>707</v>
      </c>
      <c r="C295" s="56" t="s">
        <v>462</v>
      </c>
      <c r="D295" s="21" t="s">
        <v>708</v>
      </c>
      <c r="E295" s="48"/>
      <c r="F295" s="48"/>
      <c r="G295" s="57"/>
      <c r="H295" s="58"/>
    </row>
    <row r="296" spans="1:8" ht="38.25" x14ac:dyDescent="0.25">
      <c r="B296" s="60" t="s">
        <v>709</v>
      </c>
      <c r="C296" s="56" t="s">
        <v>462</v>
      </c>
      <c r="D296" s="21" t="s">
        <v>710</v>
      </c>
      <c r="E296" s="48"/>
      <c r="F296" s="48"/>
      <c r="G296" s="57"/>
      <c r="H296" s="58"/>
    </row>
    <row r="297" spans="1:8" ht="38.25" x14ac:dyDescent="0.25">
      <c r="B297" s="60" t="s">
        <v>711</v>
      </c>
      <c r="C297" s="56" t="s">
        <v>462</v>
      </c>
      <c r="D297" s="21" t="s">
        <v>712</v>
      </c>
      <c r="E297" s="48"/>
      <c r="F297" s="48"/>
      <c r="G297" s="57"/>
      <c r="H297" s="58"/>
    </row>
    <row r="298" spans="1:8" ht="51" x14ac:dyDescent="0.25">
      <c r="B298" s="60" t="s">
        <v>713</v>
      </c>
      <c r="C298" s="56" t="s">
        <v>462</v>
      </c>
      <c r="D298" s="21" t="s">
        <v>714</v>
      </c>
      <c r="E298" s="48"/>
      <c r="F298" s="48"/>
      <c r="G298" s="57"/>
      <c r="H298" s="58"/>
    </row>
    <row r="299" spans="1:8" ht="13.5" thickBot="1" x14ac:dyDescent="0.3"/>
    <row r="300" spans="1:8" s="69" customFormat="1" ht="24.6" customHeight="1" thickBot="1" x14ac:dyDescent="0.3">
      <c r="A300" s="72">
        <v>8</v>
      </c>
      <c r="B300" s="142" t="s">
        <v>266</v>
      </c>
      <c r="C300" s="143"/>
      <c r="D300" s="68" t="s">
        <v>715</v>
      </c>
      <c r="F300" s="70"/>
      <c r="G300" s="70"/>
      <c r="H300" s="70"/>
    </row>
    <row r="301" spans="1:8" s="69" customFormat="1" ht="15" x14ac:dyDescent="0.25">
      <c r="C301" s="70"/>
      <c r="D301" s="70"/>
      <c r="F301" s="70"/>
      <c r="G301" s="70"/>
      <c r="H301" s="70"/>
    </row>
    <row r="302" spans="1:8" x14ac:dyDescent="0.25">
      <c r="B302" s="73" t="s">
        <v>268</v>
      </c>
      <c r="C302" s="73" t="s">
        <v>269</v>
      </c>
      <c r="D302" s="73" t="s">
        <v>270</v>
      </c>
      <c r="E302" s="136" t="s">
        <v>271</v>
      </c>
      <c r="F302" s="136"/>
      <c r="G302" s="136"/>
      <c r="H302" s="136"/>
    </row>
    <row r="303" spans="1:8" ht="30" x14ac:dyDescent="0.25">
      <c r="B303" s="59">
        <v>8.1</v>
      </c>
      <c r="C303" s="59" t="s">
        <v>272</v>
      </c>
      <c r="D303" s="59" t="s">
        <v>716</v>
      </c>
      <c r="E303" s="59" t="s">
        <v>274</v>
      </c>
      <c r="F303" s="59" t="s">
        <v>275</v>
      </c>
      <c r="G303" s="54" t="s">
        <v>276</v>
      </c>
      <c r="H303" s="55" t="s">
        <v>277</v>
      </c>
    </row>
    <row r="304" spans="1:8" ht="38.25" x14ac:dyDescent="0.25">
      <c r="B304" s="60" t="s">
        <v>717</v>
      </c>
      <c r="C304" s="56" t="s">
        <v>718</v>
      </c>
      <c r="D304" s="21" t="s">
        <v>719</v>
      </c>
      <c r="E304" s="48"/>
      <c r="F304" s="48"/>
      <c r="G304" s="57"/>
      <c r="H304" s="58"/>
    </row>
    <row r="305" spans="2:8" ht="76.5" x14ac:dyDescent="0.25">
      <c r="B305" s="60" t="s">
        <v>720</v>
      </c>
      <c r="C305" s="56" t="s">
        <v>718</v>
      </c>
      <c r="D305" s="21" t="s">
        <v>721</v>
      </c>
      <c r="E305" s="48"/>
      <c r="F305" s="48"/>
      <c r="G305" s="57"/>
      <c r="H305" s="58"/>
    </row>
    <row r="306" spans="2:8" ht="89.25" x14ac:dyDescent="0.25">
      <c r="B306" s="60" t="s">
        <v>722</v>
      </c>
      <c r="C306" s="56" t="s">
        <v>718</v>
      </c>
      <c r="D306" s="21" t="s">
        <v>723</v>
      </c>
      <c r="E306" s="48"/>
      <c r="F306" s="48"/>
      <c r="G306" s="57"/>
      <c r="H306" s="58"/>
    </row>
    <row r="308" spans="2:8" x14ac:dyDescent="0.25">
      <c r="B308" s="73" t="s">
        <v>268</v>
      </c>
      <c r="C308" s="73" t="s">
        <v>269</v>
      </c>
      <c r="D308" s="73" t="s">
        <v>270</v>
      </c>
      <c r="E308" s="136" t="s">
        <v>271</v>
      </c>
      <c r="F308" s="136"/>
      <c r="G308" s="136"/>
      <c r="H308" s="136"/>
    </row>
    <row r="309" spans="2:8" ht="30" x14ac:dyDescent="0.25">
      <c r="B309" s="59">
        <v>8.1999999999999993</v>
      </c>
      <c r="C309" s="59" t="s">
        <v>272</v>
      </c>
      <c r="D309" s="59" t="s">
        <v>724</v>
      </c>
      <c r="E309" s="59" t="s">
        <v>274</v>
      </c>
      <c r="F309" s="59" t="s">
        <v>275</v>
      </c>
      <c r="G309" s="54" t="s">
        <v>276</v>
      </c>
      <c r="H309" s="55" t="s">
        <v>277</v>
      </c>
    </row>
    <row r="310" spans="2:8" ht="76.5" x14ac:dyDescent="0.25">
      <c r="B310" s="60" t="s">
        <v>725</v>
      </c>
      <c r="C310" s="56" t="s">
        <v>718</v>
      </c>
      <c r="D310" s="21" t="s">
        <v>726</v>
      </c>
      <c r="E310" s="48"/>
      <c r="F310" s="48"/>
      <c r="G310" s="57"/>
      <c r="H310" s="58"/>
    </row>
    <row r="312" spans="2:8" x14ac:dyDescent="0.25">
      <c r="B312" s="73" t="s">
        <v>268</v>
      </c>
      <c r="C312" s="73" t="s">
        <v>269</v>
      </c>
      <c r="D312" s="73" t="s">
        <v>270</v>
      </c>
      <c r="E312" s="136" t="s">
        <v>271</v>
      </c>
      <c r="F312" s="136"/>
      <c r="G312" s="136"/>
      <c r="H312" s="136"/>
    </row>
    <row r="313" spans="2:8" ht="75" x14ac:dyDescent="0.25">
      <c r="B313" s="59">
        <v>8.3000000000000007</v>
      </c>
      <c r="C313" s="59" t="s">
        <v>272</v>
      </c>
      <c r="D313" s="59" t="s">
        <v>727</v>
      </c>
      <c r="E313" s="59" t="s">
        <v>274</v>
      </c>
      <c r="F313" s="59" t="s">
        <v>275</v>
      </c>
      <c r="G313" s="54" t="s">
        <v>276</v>
      </c>
      <c r="H313" s="55" t="s">
        <v>277</v>
      </c>
    </row>
    <row r="314" spans="2:8" ht="25.5" x14ac:dyDescent="0.25">
      <c r="B314" s="60" t="s">
        <v>728</v>
      </c>
      <c r="C314" s="56" t="s">
        <v>729</v>
      </c>
      <c r="D314" s="21" t="s">
        <v>730</v>
      </c>
      <c r="E314" s="48"/>
      <c r="F314" s="48"/>
      <c r="G314" s="57"/>
      <c r="H314" s="58"/>
    </row>
    <row r="315" spans="2:8" ht="38.25" x14ac:dyDescent="0.25">
      <c r="B315" s="60" t="s">
        <v>731</v>
      </c>
      <c r="C315" s="56" t="s">
        <v>729</v>
      </c>
      <c r="D315" s="21" t="s">
        <v>732</v>
      </c>
      <c r="E315" s="48"/>
      <c r="F315" s="48"/>
      <c r="G315" s="57"/>
      <c r="H315" s="58"/>
    </row>
    <row r="316" spans="2:8" ht="89.25" x14ac:dyDescent="0.25">
      <c r="B316" s="60" t="s">
        <v>733</v>
      </c>
      <c r="C316" s="56" t="s">
        <v>729</v>
      </c>
      <c r="D316" s="21" t="s">
        <v>734</v>
      </c>
      <c r="E316" s="48"/>
      <c r="F316" s="48"/>
      <c r="G316" s="57"/>
      <c r="H316" s="58"/>
    </row>
    <row r="317" spans="2:8" ht="63.75" x14ac:dyDescent="0.25">
      <c r="B317" s="60" t="s">
        <v>735</v>
      </c>
      <c r="C317" s="56" t="s">
        <v>729</v>
      </c>
      <c r="D317" s="21" t="s">
        <v>736</v>
      </c>
      <c r="E317" s="48"/>
      <c r="F317" s="48"/>
      <c r="G317" s="57"/>
      <c r="H317" s="58"/>
    </row>
    <row r="319" spans="2:8" x14ac:dyDescent="0.25">
      <c r="B319" s="73" t="s">
        <v>268</v>
      </c>
      <c r="C319" s="73" t="s">
        <v>269</v>
      </c>
      <c r="D319" s="73" t="s">
        <v>270</v>
      </c>
      <c r="E319" s="136" t="s">
        <v>271</v>
      </c>
      <c r="F319" s="136"/>
      <c r="G319" s="136"/>
      <c r="H319" s="136"/>
    </row>
    <row r="320" spans="2:8" ht="60" x14ac:dyDescent="0.25">
      <c r="B320" s="59">
        <v>8.4</v>
      </c>
      <c r="C320" s="59" t="s">
        <v>272</v>
      </c>
      <c r="D320" s="59" t="s">
        <v>737</v>
      </c>
      <c r="E320" s="59" t="s">
        <v>274</v>
      </c>
      <c r="F320" s="59" t="s">
        <v>275</v>
      </c>
      <c r="G320" s="54" t="s">
        <v>276</v>
      </c>
      <c r="H320" s="55" t="s">
        <v>277</v>
      </c>
    </row>
    <row r="321" spans="2:8" ht="63.75" x14ac:dyDescent="0.25">
      <c r="B321" s="60" t="s">
        <v>738</v>
      </c>
      <c r="C321" s="56" t="s">
        <v>729</v>
      </c>
      <c r="D321" s="21" t="s">
        <v>736</v>
      </c>
      <c r="E321" s="48"/>
      <c r="F321" s="48"/>
      <c r="G321" s="57"/>
      <c r="H321" s="58"/>
    </row>
    <row r="323" spans="2:8" x14ac:dyDescent="0.25">
      <c r="B323" s="73" t="s">
        <v>268</v>
      </c>
      <c r="C323" s="73" t="s">
        <v>269</v>
      </c>
      <c r="D323" s="73" t="s">
        <v>270</v>
      </c>
      <c r="E323" s="136" t="s">
        <v>271</v>
      </c>
      <c r="F323" s="136"/>
      <c r="G323" s="136"/>
      <c r="H323" s="136"/>
    </row>
    <row r="324" spans="2:8" ht="30" x14ac:dyDescent="0.25">
      <c r="B324" s="59">
        <v>8.5</v>
      </c>
      <c r="C324" s="59" t="s">
        <v>272</v>
      </c>
      <c r="D324" s="59" t="s">
        <v>739</v>
      </c>
      <c r="E324" s="59" t="s">
        <v>274</v>
      </c>
      <c r="F324" s="59" t="s">
        <v>275</v>
      </c>
      <c r="G324" s="54" t="s">
        <v>276</v>
      </c>
      <c r="H324" s="55" t="s">
        <v>277</v>
      </c>
    </row>
    <row r="325" spans="2:8" ht="38.25" x14ac:dyDescent="0.25">
      <c r="B325" s="60" t="s">
        <v>740</v>
      </c>
      <c r="C325" s="56" t="s">
        <v>718</v>
      </c>
      <c r="D325" s="21" t="s">
        <v>741</v>
      </c>
      <c r="E325" s="48"/>
      <c r="F325" s="48"/>
      <c r="G325" s="57"/>
      <c r="H325" s="58"/>
    </row>
    <row r="326" spans="2:8" ht="15" x14ac:dyDescent="0.25">
      <c r="B326" s="60" t="s">
        <v>742</v>
      </c>
      <c r="C326" s="56" t="s">
        <v>743</v>
      </c>
      <c r="D326" s="21" t="s">
        <v>744</v>
      </c>
      <c r="E326" s="48"/>
      <c r="F326" s="48"/>
      <c r="G326" s="57"/>
      <c r="H326" s="58"/>
    </row>
    <row r="327" spans="2:8" ht="63.75" x14ac:dyDescent="0.25">
      <c r="B327" s="60" t="s">
        <v>745</v>
      </c>
      <c r="C327" s="56" t="s">
        <v>743</v>
      </c>
      <c r="D327" s="21" t="s">
        <v>746</v>
      </c>
      <c r="E327" s="48"/>
      <c r="F327" s="48"/>
      <c r="G327" s="57"/>
      <c r="H327" s="58"/>
    </row>
    <row r="328" spans="2:8" ht="38.25" x14ac:dyDescent="0.25">
      <c r="B328" s="60" t="s">
        <v>747</v>
      </c>
      <c r="C328" s="56" t="s">
        <v>743</v>
      </c>
      <c r="D328" s="21" t="s">
        <v>748</v>
      </c>
      <c r="E328" s="48"/>
      <c r="F328" s="48"/>
      <c r="G328" s="57"/>
      <c r="H328" s="58"/>
    </row>
  </sheetData>
  <mergeCells count="47">
    <mergeCell ref="E21:H21"/>
    <mergeCell ref="B2:H2"/>
    <mergeCell ref="B3:H3"/>
    <mergeCell ref="B5:C5"/>
    <mergeCell ref="E7:H7"/>
    <mergeCell ref="B19:C19"/>
    <mergeCell ref="E103:H103"/>
    <mergeCell ref="E26:H26"/>
    <mergeCell ref="E30:H30"/>
    <mergeCell ref="B35:C35"/>
    <mergeCell ref="E37:H37"/>
    <mergeCell ref="E43:H43"/>
    <mergeCell ref="E53:H53"/>
    <mergeCell ref="E60:H60"/>
    <mergeCell ref="E66:H66"/>
    <mergeCell ref="E72:H72"/>
    <mergeCell ref="E80:H80"/>
    <mergeCell ref="E96:H96"/>
    <mergeCell ref="E193:H193"/>
    <mergeCell ref="E118:H118"/>
    <mergeCell ref="E123:H123"/>
    <mergeCell ref="E128:H128"/>
    <mergeCell ref="B133:C133"/>
    <mergeCell ref="E135:H135"/>
    <mergeCell ref="E143:H143"/>
    <mergeCell ref="E149:H149"/>
    <mergeCell ref="E155:H155"/>
    <mergeCell ref="E159:H159"/>
    <mergeCell ref="E167:H167"/>
    <mergeCell ref="E187:H187"/>
    <mergeCell ref="B300:C300"/>
    <mergeCell ref="E216:H216"/>
    <mergeCell ref="B241:C241"/>
    <mergeCell ref="E243:H243"/>
    <mergeCell ref="E251:H251"/>
    <mergeCell ref="E256:H256"/>
    <mergeCell ref="E263:H263"/>
    <mergeCell ref="B270:C270"/>
    <mergeCell ref="E272:H272"/>
    <mergeCell ref="E279:H279"/>
    <mergeCell ref="B287:C287"/>
    <mergeCell ref="E289:H289"/>
    <mergeCell ref="E302:H302"/>
    <mergeCell ref="E308:H308"/>
    <mergeCell ref="E312:H312"/>
    <mergeCell ref="E319:H319"/>
    <mergeCell ref="E323:H323"/>
  </mergeCells>
  <conditionalFormatting sqref="G9:H9">
    <cfRule type="cellIs" dxfId="711" priority="777" operator="equal">
      <formula>"No"</formula>
    </cfRule>
    <cfRule type="cellIs" dxfId="710" priority="778" operator="equal">
      <formula>"Sí"</formula>
    </cfRule>
    <cfRule type="cellIs" dxfId="709" priority="779" operator="equal">
      <formula>"Parcialmente cumplido"</formula>
    </cfRule>
    <cfRule type="cellIs" dxfId="708" priority="780" operator="equal">
      <formula>"No cumplido"</formula>
    </cfRule>
    <cfRule type="containsText" dxfId="707" priority="781" operator="containsText" text="Parcialmente cumplido">
      <formula>NOT(ISERROR(SEARCH("Parcialmente cumplido",G9)))</formula>
    </cfRule>
    <cfRule type="cellIs" dxfId="706" priority="782" operator="equal">
      <formula>"Cumplido"</formula>
    </cfRule>
    <cfRule type="containsText" dxfId="705" priority="783" operator="containsText" text="Sin cambios">
      <formula>NOT(ISERROR(SEARCH("Sin cambios",G9)))</formula>
    </cfRule>
    <cfRule type="cellIs" dxfId="704" priority="784" operator="equal">
      <formula>"En actualización / En proceso"</formula>
    </cfRule>
  </conditionalFormatting>
  <conditionalFormatting sqref="G10:H17">
    <cfRule type="cellIs" dxfId="703" priority="769" operator="equal">
      <formula>"No"</formula>
    </cfRule>
    <cfRule type="cellIs" dxfId="702" priority="770" operator="equal">
      <formula>"Sí"</formula>
    </cfRule>
    <cfRule type="cellIs" dxfId="701" priority="771" operator="equal">
      <formula>"Parcialmente cumplido"</formula>
    </cfRule>
    <cfRule type="cellIs" dxfId="700" priority="772" operator="equal">
      <formula>"No cumplido"</formula>
    </cfRule>
    <cfRule type="containsText" dxfId="699" priority="773" operator="containsText" text="Parcialmente cumplido">
      <formula>NOT(ISERROR(SEARCH("Parcialmente cumplido",G10)))</formula>
    </cfRule>
    <cfRule type="cellIs" dxfId="698" priority="774" operator="equal">
      <formula>"Cumplido"</formula>
    </cfRule>
    <cfRule type="containsText" dxfId="697" priority="775" operator="containsText" text="Sin cambios">
      <formula>NOT(ISERROR(SEARCH("Sin cambios",G10)))</formula>
    </cfRule>
    <cfRule type="cellIs" dxfId="696" priority="776" operator="equal">
      <formula>"En actualización / En proceso"</formula>
    </cfRule>
  </conditionalFormatting>
  <conditionalFormatting sqref="G23:H23">
    <cfRule type="cellIs" dxfId="695" priority="761" operator="equal">
      <formula>"No"</formula>
    </cfRule>
    <cfRule type="cellIs" dxfId="694" priority="762" operator="equal">
      <formula>"Sí"</formula>
    </cfRule>
    <cfRule type="cellIs" dxfId="693" priority="763" operator="equal">
      <formula>"Parcialmente cumplido"</formula>
    </cfRule>
    <cfRule type="cellIs" dxfId="692" priority="764" operator="equal">
      <formula>"No cumplido"</formula>
    </cfRule>
    <cfRule type="containsText" dxfId="691" priority="765" operator="containsText" text="Parcialmente cumplido">
      <formula>NOT(ISERROR(SEARCH("Parcialmente cumplido",G23)))</formula>
    </cfRule>
    <cfRule type="cellIs" dxfId="690" priority="766" operator="equal">
      <formula>"Cumplido"</formula>
    </cfRule>
    <cfRule type="containsText" dxfId="689" priority="767" operator="containsText" text="Sin cambios">
      <formula>NOT(ISERROR(SEARCH("Sin cambios",G23)))</formula>
    </cfRule>
    <cfRule type="cellIs" dxfId="688" priority="768" operator="equal">
      <formula>"En actualización / En proceso"</formula>
    </cfRule>
  </conditionalFormatting>
  <conditionalFormatting sqref="G24:H24">
    <cfRule type="cellIs" dxfId="687" priority="753" operator="equal">
      <formula>"No"</formula>
    </cfRule>
    <cfRule type="cellIs" dxfId="686" priority="754" operator="equal">
      <formula>"Sí"</formula>
    </cfRule>
    <cfRule type="cellIs" dxfId="685" priority="755" operator="equal">
      <formula>"Parcialmente cumplido"</formula>
    </cfRule>
    <cfRule type="cellIs" dxfId="684" priority="756" operator="equal">
      <formula>"No cumplido"</formula>
    </cfRule>
    <cfRule type="containsText" dxfId="683" priority="757" operator="containsText" text="Parcialmente cumplido">
      <formula>NOT(ISERROR(SEARCH("Parcialmente cumplido",G24)))</formula>
    </cfRule>
    <cfRule type="cellIs" dxfId="682" priority="758" operator="equal">
      <formula>"Cumplido"</formula>
    </cfRule>
    <cfRule type="containsText" dxfId="681" priority="759" operator="containsText" text="Sin cambios">
      <formula>NOT(ISERROR(SEARCH("Sin cambios",G24)))</formula>
    </cfRule>
    <cfRule type="cellIs" dxfId="680" priority="760" operator="equal">
      <formula>"En actualización / En proceso"</formula>
    </cfRule>
  </conditionalFormatting>
  <conditionalFormatting sqref="G28:H28">
    <cfRule type="cellIs" dxfId="679" priority="745" operator="equal">
      <formula>"No"</formula>
    </cfRule>
    <cfRule type="cellIs" dxfId="678" priority="746" operator="equal">
      <formula>"Sí"</formula>
    </cfRule>
    <cfRule type="cellIs" dxfId="677" priority="747" operator="equal">
      <formula>"Parcialmente cumplido"</formula>
    </cfRule>
    <cfRule type="cellIs" dxfId="676" priority="748" operator="equal">
      <formula>"No cumplido"</formula>
    </cfRule>
    <cfRule type="containsText" dxfId="675" priority="749" operator="containsText" text="Parcialmente cumplido">
      <formula>NOT(ISERROR(SEARCH("Parcialmente cumplido",G28)))</formula>
    </cfRule>
    <cfRule type="cellIs" dxfId="674" priority="750" operator="equal">
      <formula>"Cumplido"</formula>
    </cfRule>
    <cfRule type="containsText" dxfId="673" priority="751" operator="containsText" text="Sin cambios">
      <formula>NOT(ISERROR(SEARCH("Sin cambios",G28)))</formula>
    </cfRule>
    <cfRule type="cellIs" dxfId="672" priority="752" operator="equal">
      <formula>"En actualización / En proceso"</formula>
    </cfRule>
  </conditionalFormatting>
  <conditionalFormatting sqref="G32:H32">
    <cfRule type="cellIs" dxfId="671" priority="737" operator="equal">
      <formula>"No"</formula>
    </cfRule>
    <cfRule type="cellIs" dxfId="670" priority="738" operator="equal">
      <formula>"Sí"</formula>
    </cfRule>
    <cfRule type="cellIs" dxfId="669" priority="739" operator="equal">
      <formula>"Parcialmente cumplido"</formula>
    </cfRule>
    <cfRule type="cellIs" dxfId="668" priority="740" operator="equal">
      <formula>"No cumplido"</formula>
    </cfRule>
    <cfRule type="containsText" dxfId="667" priority="741" operator="containsText" text="Parcialmente cumplido">
      <formula>NOT(ISERROR(SEARCH("Parcialmente cumplido",G32)))</formula>
    </cfRule>
    <cfRule type="cellIs" dxfId="666" priority="742" operator="equal">
      <formula>"Cumplido"</formula>
    </cfRule>
    <cfRule type="containsText" dxfId="665" priority="743" operator="containsText" text="Sin cambios">
      <formula>NOT(ISERROR(SEARCH("Sin cambios",G32)))</formula>
    </cfRule>
    <cfRule type="cellIs" dxfId="664" priority="744" operator="equal">
      <formula>"En actualización / En proceso"</formula>
    </cfRule>
  </conditionalFormatting>
  <conditionalFormatting sqref="G33:H33">
    <cfRule type="cellIs" dxfId="663" priority="729" operator="equal">
      <formula>"No"</formula>
    </cfRule>
    <cfRule type="cellIs" dxfId="662" priority="730" operator="equal">
      <formula>"Sí"</formula>
    </cfRule>
    <cfRule type="cellIs" dxfId="661" priority="731" operator="equal">
      <formula>"Parcialmente cumplido"</formula>
    </cfRule>
    <cfRule type="cellIs" dxfId="660" priority="732" operator="equal">
      <formula>"No cumplido"</formula>
    </cfRule>
    <cfRule type="containsText" dxfId="659" priority="733" operator="containsText" text="Parcialmente cumplido">
      <formula>NOT(ISERROR(SEARCH("Parcialmente cumplido",G33)))</formula>
    </cfRule>
    <cfRule type="cellIs" dxfId="658" priority="734" operator="equal">
      <formula>"Cumplido"</formula>
    </cfRule>
    <cfRule type="containsText" dxfId="657" priority="735" operator="containsText" text="Sin cambios">
      <formula>NOT(ISERROR(SEARCH("Sin cambios",G33)))</formula>
    </cfRule>
    <cfRule type="cellIs" dxfId="656" priority="736" operator="equal">
      <formula>"En actualización / En proceso"</formula>
    </cfRule>
  </conditionalFormatting>
  <conditionalFormatting sqref="G39:H39">
    <cfRule type="cellIs" dxfId="655" priority="721" operator="equal">
      <formula>"No"</formula>
    </cfRule>
    <cfRule type="cellIs" dxfId="654" priority="722" operator="equal">
      <formula>"Sí"</formula>
    </cfRule>
    <cfRule type="cellIs" dxfId="653" priority="723" operator="equal">
      <formula>"Parcialmente cumplido"</formula>
    </cfRule>
    <cfRule type="cellIs" dxfId="652" priority="724" operator="equal">
      <formula>"No cumplido"</formula>
    </cfRule>
    <cfRule type="containsText" dxfId="651" priority="725" operator="containsText" text="Parcialmente cumplido">
      <formula>NOT(ISERROR(SEARCH("Parcialmente cumplido",G39)))</formula>
    </cfRule>
    <cfRule type="cellIs" dxfId="650" priority="726" operator="equal">
      <formula>"Cumplido"</formula>
    </cfRule>
    <cfRule type="containsText" dxfId="649" priority="727" operator="containsText" text="Sin cambios">
      <formula>NOT(ISERROR(SEARCH("Sin cambios",G39)))</formula>
    </cfRule>
    <cfRule type="cellIs" dxfId="648" priority="728" operator="equal">
      <formula>"En actualización / En proceso"</formula>
    </cfRule>
  </conditionalFormatting>
  <conditionalFormatting sqref="G40:H40">
    <cfRule type="cellIs" dxfId="647" priority="713" operator="equal">
      <formula>"No"</formula>
    </cfRule>
    <cfRule type="cellIs" dxfId="646" priority="714" operator="equal">
      <formula>"Sí"</formula>
    </cfRule>
    <cfRule type="cellIs" dxfId="645" priority="715" operator="equal">
      <formula>"Parcialmente cumplido"</formula>
    </cfRule>
    <cfRule type="cellIs" dxfId="644" priority="716" operator="equal">
      <formula>"No cumplido"</formula>
    </cfRule>
    <cfRule type="containsText" dxfId="643" priority="717" operator="containsText" text="Parcialmente cumplido">
      <formula>NOT(ISERROR(SEARCH("Parcialmente cumplido",G40)))</formula>
    </cfRule>
    <cfRule type="cellIs" dxfId="642" priority="718" operator="equal">
      <formula>"Cumplido"</formula>
    </cfRule>
    <cfRule type="containsText" dxfId="641" priority="719" operator="containsText" text="Sin cambios">
      <formula>NOT(ISERROR(SEARCH("Sin cambios",G40)))</formula>
    </cfRule>
    <cfRule type="cellIs" dxfId="640" priority="720" operator="equal">
      <formula>"En actualización / En proceso"</formula>
    </cfRule>
  </conditionalFormatting>
  <conditionalFormatting sqref="G41:H41">
    <cfRule type="cellIs" dxfId="639" priority="705" operator="equal">
      <formula>"No"</formula>
    </cfRule>
    <cfRule type="cellIs" dxfId="638" priority="706" operator="equal">
      <formula>"Sí"</formula>
    </cfRule>
    <cfRule type="cellIs" dxfId="637" priority="707" operator="equal">
      <formula>"Parcialmente cumplido"</formula>
    </cfRule>
    <cfRule type="cellIs" dxfId="636" priority="708" operator="equal">
      <formula>"No cumplido"</formula>
    </cfRule>
    <cfRule type="containsText" dxfId="635" priority="709" operator="containsText" text="Parcialmente cumplido">
      <formula>NOT(ISERROR(SEARCH("Parcialmente cumplido",G41)))</formula>
    </cfRule>
    <cfRule type="cellIs" dxfId="634" priority="710" operator="equal">
      <formula>"Cumplido"</formula>
    </cfRule>
    <cfRule type="containsText" dxfId="633" priority="711" operator="containsText" text="Sin cambios">
      <formula>NOT(ISERROR(SEARCH("Sin cambios",G41)))</formula>
    </cfRule>
    <cfRule type="cellIs" dxfId="632" priority="712" operator="equal">
      <formula>"En actualización / En proceso"</formula>
    </cfRule>
  </conditionalFormatting>
  <conditionalFormatting sqref="G45:H45">
    <cfRule type="cellIs" dxfId="631" priority="697" operator="equal">
      <formula>"No"</formula>
    </cfRule>
    <cfRule type="cellIs" dxfId="630" priority="698" operator="equal">
      <formula>"Sí"</formula>
    </cfRule>
    <cfRule type="cellIs" dxfId="629" priority="699" operator="equal">
      <formula>"Parcialmente cumplido"</formula>
    </cfRule>
    <cfRule type="cellIs" dxfId="628" priority="700" operator="equal">
      <formula>"No cumplido"</formula>
    </cfRule>
    <cfRule type="containsText" dxfId="627" priority="701" operator="containsText" text="Parcialmente cumplido">
      <formula>NOT(ISERROR(SEARCH("Parcialmente cumplido",G45)))</formula>
    </cfRule>
    <cfRule type="cellIs" dxfId="626" priority="702" operator="equal">
      <formula>"Cumplido"</formula>
    </cfRule>
    <cfRule type="containsText" dxfId="625" priority="703" operator="containsText" text="Sin cambios">
      <formula>NOT(ISERROR(SEARCH("Sin cambios",G45)))</formula>
    </cfRule>
    <cfRule type="cellIs" dxfId="624" priority="704" operator="equal">
      <formula>"En actualización / En proceso"</formula>
    </cfRule>
  </conditionalFormatting>
  <conditionalFormatting sqref="G46:H46">
    <cfRule type="cellIs" dxfId="623" priority="689" operator="equal">
      <formula>"No"</formula>
    </cfRule>
    <cfRule type="cellIs" dxfId="622" priority="690" operator="equal">
      <formula>"Sí"</formula>
    </cfRule>
    <cfRule type="cellIs" dxfId="621" priority="691" operator="equal">
      <formula>"Parcialmente cumplido"</formula>
    </cfRule>
    <cfRule type="cellIs" dxfId="620" priority="692" operator="equal">
      <formula>"No cumplido"</formula>
    </cfRule>
    <cfRule type="containsText" dxfId="619" priority="693" operator="containsText" text="Parcialmente cumplido">
      <formula>NOT(ISERROR(SEARCH("Parcialmente cumplido",G46)))</formula>
    </cfRule>
    <cfRule type="cellIs" dxfId="618" priority="694" operator="equal">
      <formula>"Cumplido"</formula>
    </cfRule>
    <cfRule type="containsText" dxfId="617" priority="695" operator="containsText" text="Sin cambios">
      <formula>NOT(ISERROR(SEARCH("Sin cambios",G46)))</formula>
    </cfRule>
    <cfRule type="cellIs" dxfId="616" priority="696" operator="equal">
      <formula>"En actualización / En proceso"</formula>
    </cfRule>
  </conditionalFormatting>
  <conditionalFormatting sqref="G47:H47">
    <cfRule type="cellIs" dxfId="615" priority="681" operator="equal">
      <formula>"No"</formula>
    </cfRule>
    <cfRule type="cellIs" dxfId="614" priority="682" operator="equal">
      <formula>"Sí"</formula>
    </cfRule>
    <cfRule type="cellIs" dxfId="613" priority="683" operator="equal">
      <formula>"Parcialmente cumplido"</formula>
    </cfRule>
    <cfRule type="cellIs" dxfId="612" priority="684" operator="equal">
      <formula>"No cumplido"</formula>
    </cfRule>
    <cfRule type="containsText" dxfId="611" priority="685" operator="containsText" text="Parcialmente cumplido">
      <formula>NOT(ISERROR(SEARCH("Parcialmente cumplido",G47)))</formula>
    </cfRule>
    <cfRule type="cellIs" dxfId="610" priority="686" operator="equal">
      <formula>"Cumplido"</formula>
    </cfRule>
    <cfRule type="containsText" dxfId="609" priority="687" operator="containsText" text="Sin cambios">
      <formula>NOT(ISERROR(SEARCH("Sin cambios",G47)))</formula>
    </cfRule>
    <cfRule type="cellIs" dxfId="608" priority="688" operator="equal">
      <formula>"En actualización / En proceso"</formula>
    </cfRule>
  </conditionalFormatting>
  <conditionalFormatting sqref="G48:H51">
    <cfRule type="cellIs" dxfId="607" priority="673" operator="equal">
      <formula>"No"</formula>
    </cfRule>
    <cfRule type="cellIs" dxfId="606" priority="674" operator="equal">
      <formula>"Sí"</formula>
    </cfRule>
    <cfRule type="cellIs" dxfId="605" priority="675" operator="equal">
      <formula>"Parcialmente cumplido"</formula>
    </cfRule>
    <cfRule type="cellIs" dxfId="604" priority="676" operator="equal">
      <formula>"No cumplido"</formula>
    </cfRule>
    <cfRule type="containsText" dxfId="603" priority="677" operator="containsText" text="Parcialmente cumplido">
      <formula>NOT(ISERROR(SEARCH("Parcialmente cumplido",G48)))</formula>
    </cfRule>
    <cfRule type="cellIs" dxfId="602" priority="678" operator="equal">
      <formula>"Cumplido"</formula>
    </cfRule>
    <cfRule type="containsText" dxfId="601" priority="679" operator="containsText" text="Sin cambios">
      <formula>NOT(ISERROR(SEARCH("Sin cambios",G48)))</formula>
    </cfRule>
    <cfRule type="cellIs" dxfId="600" priority="680" operator="equal">
      <formula>"En actualización / En proceso"</formula>
    </cfRule>
  </conditionalFormatting>
  <conditionalFormatting sqref="G55:H55">
    <cfRule type="cellIs" dxfId="599" priority="665" operator="equal">
      <formula>"No"</formula>
    </cfRule>
    <cfRule type="cellIs" dxfId="598" priority="666" operator="equal">
      <formula>"Sí"</formula>
    </cfRule>
    <cfRule type="cellIs" dxfId="597" priority="667" operator="equal">
      <formula>"Parcialmente cumplido"</formula>
    </cfRule>
    <cfRule type="cellIs" dxfId="596" priority="668" operator="equal">
      <formula>"No cumplido"</formula>
    </cfRule>
    <cfRule type="containsText" dxfId="595" priority="669" operator="containsText" text="Parcialmente cumplido">
      <formula>NOT(ISERROR(SEARCH("Parcialmente cumplido",G55)))</formula>
    </cfRule>
    <cfRule type="cellIs" dxfId="594" priority="670" operator="equal">
      <formula>"Cumplido"</formula>
    </cfRule>
    <cfRule type="containsText" dxfId="593" priority="671" operator="containsText" text="Sin cambios">
      <formula>NOT(ISERROR(SEARCH("Sin cambios",G55)))</formula>
    </cfRule>
    <cfRule type="cellIs" dxfId="592" priority="672" operator="equal">
      <formula>"En actualización / En proceso"</formula>
    </cfRule>
  </conditionalFormatting>
  <conditionalFormatting sqref="G56:H56">
    <cfRule type="cellIs" dxfId="591" priority="657" operator="equal">
      <formula>"No"</formula>
    </cfRule>
    <cfRule type="cellIs" dxfId="590" priority="658" operator="equal">
      <formula>"Sí"</formula>
    </cfRule>
    <cfRule type="cellIs" dxfId="589" priority="659" operator="equal">
      <formula>"Parcialmente cumplido"</formula>
    </cfRule>
    <cfRule type="cellIs" dxfId="588" priority="660" operator="equal">
      <formula>"No cumplido"</formula>
    </cfRule>
    <cfRule type="containsText" dxfId="587" priority="661" operator="containsText" text="Parcialmente cumplido">
      <formula>NOT(ISERROR(SEARCH("Parcialmente cumplido",G56)))</formula>
    </cfRule>
    <cfRule type="cellIs" dxfId="586" priority="662" operator="equal">
      <formula>"Cumplido"</formula>
    </cfRule>
    <cfRule type="containsText" dxfId="585" priority="663" operator="containsText" text="Sin cambios">
      <formula>NOT(ISERROR(SEARCH("Sin cambios",G56)))</formula>
    </cfRule>
    <cfRule type="cellIs" dxfId="584" priority="664" operator="equal">
      <formula>"En actualización / En proceso"</formula>
    </cfRule>
  </conditionalFormatting>
  <conditionalFormatting sqref="G57:H57">
    <cfRule type="cellIs" dxfId="583" priority="649" operator="equal">
      <formula>"No"</formula>
    </cfRule>
    <cfRule type="cellIs" dxfId="582" priority="650" operator="equal">
      <formula>"Sí"</formula>
    </cfRule>
    <cfRule type="cellIs" dxfId="581" priority="651" operator="equal">
      <formula>"Parcialmente cumplido"</formula>
    </cfRule>
    <cfRule type="cellIs" dxfId="580" priority="652" operator="equal">
      <formula>"No cumplido"</formula>
    </cfRule>
    <cfRule type="containsText" dxfId="579" priority="653" operator="containsText" text="Parcialmente cumplido">
      <formula>NOT(ISERROR(SEARCH("Parcialmente cumplido",G57)))</formula>
    </cfRule>
    <cfRule type="cellIs" dxfId="578" priority="654" operator="equal">
      <formula>"Cumplido"</formula>
    </cfRule>
    <cfRule type="containsText" dxfId="577" priority="655" operator="containsText" text="Sin cambios">
      <formula>NOT(ISERROR(SEARCH("Sin cambios",G57)))</formula>
    </cfRule>
    <cfRule type="cellIs" dxfId="576" priority="656" operator="equal">
      <formula>"En actualización / En proceso"</formula>
    </cfRule>
  </conditionalFormatting>
  <conditionalFormatting sqref="G58:H58">
    <cfRule type="cellIs" dxfId="575" priority="641" operator="equal">
      <formula>"No"</formula>
    </cfRule>
    <cfRule type="cellIs" dxfId="574" priority="642" operator="equal">
      <formula>"Sí"</formula>
    </cfRule>
    <cfRule type="cellIs" dxfId="573" priority="643" operator="equal">
      <formula>"Parcialmente cumplido"</formula>
    </cfRule>
    <cfRule type="cellIs" dxfId="572" priority="644" operator="equal">
      <formula>"No cumplido"</formula>
    </cfRule>
    <cfRule type="containsText" dxfId="571" priority="645" operator="containsText" text="Parcialmente cumplido">
      <formula>NOT(ISERROR(SEARCH("Parcialmente cumplido",G58)))</formula>
    </cfRule>
    <cfRule type="cellIs" dxfId="570" priority="646" operator="equal">
      <formula>"Cumplido"</formula>
    </cfRule>
    <cfRule type="containsText" dxfId="569" priority="647" operator="containsText" text="Sin cambios">
      <formula>NOT(ISERROR(SEARCH("Sin cambios",G58)))</formula>
    </cfRule>
    <cfRule type="cellIs" dxfId="568" priority="648" operator="equal">
      <formula>"En actualización / En proceso"</formula>
    </cfRule>
  </conditionalFormatting>
  <conditionalFormatting sqref="G62:H62">
    <cfRule type="cellIs" dxfId="567" priority="633" operator="equal">
      <formula>"No"</formula>
    </cfRule>
    <cfRule type="cellIs" dxfId="566" priority="634" operator="equal">
      <formula>"Sí"</formula>
    </cfRule>
    <cfRule type="cellIs" dxfId="565" priority="635" operator="equal">
      <formula>"Parcialmente cumplido"</formula>
    </cfRule>
    <cfRule type="cellIs" dxfId="564" priority="636" operator="equal">
      <formula>"No cumplido"</formula>
    </cfRule>
    <cfRule type="containsText" dxfId="563" priority="637" operator="containsText" text="Parcialmente cumplido">
      <formula>NOT(ISERROR(SEARCH("Parcialmente cumplido",G62)))</formula>
    </cfRule>
    <cfRule type="cellIs" dxfId="562" priority="638" operator="equal">
      <formula>"Cumplido"</formula>
    </cfRule>
    <cfRule type="containsText" dxfId="561" priority="639" operator="containsText" text="Sin cambios">
      <formula>NOT(ISERROR(SEARCH("Sin cambios",G62)))</formula>
    </cfRule>
    <cfRule type="cellIs" dxfId="560" priority="640" operator="equal">
      <formula>"En actualización / En proceso"</formula>
    </cfRule>
  </conditionalFormatting>
  <conditionalFormatting sqref="G63:H63">
    <cfRule type="cellIs" dxfId="559" priority="625" operator="equal">
      <formula>"No"</formula>
    </cfRule>
    <cfRule type="cellIs" dxfId="558" priority="626" operator="equal">
      <formula>"Sí"</formula>
    </cfRule>
    <cfRule type="cellIs" dxfId="557" priority="627" operator="equal">
      <formula>"Parcialmente cumplido"</formula>
    </cfRule>
    <cfRule type="cellIs" dxfId="556" priority="628" operator="equal">
      <formula>"No cumplido"</formula>
    </cfRule>
    <cfRule type="containsText" dxfId="555" priority="629" operator="containsText" text="Parcialmente cumplido">
      <formula>NOT(ISERROR(SEARCH("Parcialmente cumplido",G63)))</formula>
    </cfRule>
    <cfRule type="cellIs" dxfId="554" priority="630" operator="equal">
      <formula>"Cumplido"</formula>
    </cfRule>
    <cfRule type="containsText" dxfId="553" priority="631" operator="containsText" text="Sin cambios">
      <formula>NOT(ISERROR(SEARCH("Sin cambios",G63)))</formula>
    </cfRule>
    <cfRule type="cellIs" dxfId="552" priority="632" operator="equal">
      <formula>"En actualización / En proceso"</formula>
    </cfRule>
  </conditionalFormatting>
  <conditionalFormatting sqref="G64:H64">
    <cfRule type="cellIs" dxfId="551" priority="617" operator="equal">
      <formula>"No"</formula>
    </cfRule>
    <cfRule type="cellIs" dxfId="550" priority="618" operator="equal">
      <formula>"Sí"</formula>
    </cfRule>
    <cfRule type="cellIs" dxfId="549" priority="619" operator="equal">
      <formula>"Parcialmente cumplido"</formula>
    </cfRule>
    <cfRule type="cellIs" dxfId="548" priority="620" operator="equal">
      <formula>"No cumplido"</formula>
    </cfRule>
    <cfRule type="containsText" dxfId="547" priority="621" operator="containsText" text="Parcialmente cumplido">
      <formula>NOT(ISERROR(SEARCH("Parcialmente cumplido",G64)))</formula>
    </cfRule>
    <cfRule type="cellIs" dxfId="546" priority="622" operator="equal">
      <formula>"Cumplido"</formula>
    </cfRule>
    <cfRule type="containsText" dxfId="545" priority="623" operator="containsText" text="Sin cambios">
      <formula>NOT(ISERROR(SEARCH("Sin cambios",G64)))</formula>
    </cfRule>
    <cfRule type="cellIs" dxfId="544" priority="624" operator="equal">
      <formula>"En actualización / En proceso"</formula>
    </cfRule>
  </conditionalFormatting>
  <conditionalFormatting sqref="G77:H78">
    <cfRule type="cellIs" dxfId="543" priority="561" operator="equal">
      <formula>"No"</formula>
    </cfRule>
    <cfRule type="cellIs" dxfId="542" priority="562" operator="equal">
      <formula>"Sí"</formula>
    </cfRule>
    <cfRule type="cellIs" dxfId="541" priority="563" operator="equal">
      <formula>"Parcialmente cumplido"</formula>
    </cfRule>
    <cfRule type="cellIs" dxfId="540" priority="564" operator="equal">
      <formula>"No cumplido"</formula>
    </cfRule>
    <cfRule type="containsText" dxfId="539" priority="565" operator="containsText" text="Parcialmente cumplido">
      <formula>NOT(ISERROR(SEARCH("Parcialmente cumplido",G77)))</formula>
    </cfRule>
    <cfRule type="cellIs" dxfId="538" priority="566" operator="equal">
      <formula>"Cumplido"</formula>
    </cfRule>
    <cfRule type="containsText" dxfId="537" priority="567" operator="containsText" text="Sin cambios">
      <formula>NOT(ISERROR(SEARCH("Sin cambios",G77)))</formula>
    </cfRule>
    <cfRule type="cellIs" dxfId="536" priority="568" operator="equal">
      <formula>"En actualización / En proceso"</formula>
    </cfRule>
  </conditionalFormatting>
  <conditionalFormatting sqref="G68:H68">
    <cfRule type="cellIs" dxfId="535" priority="609" operator="equal">
      <formula>"No"</formula>
    </cfRule>
    <cfRule type="cellIs" dxfId="534" priority="610" operator="equal">
      <formula>"Sí"</formula>
    </cfRule>
    <cfRule type="cellIs" dxfId="533" priority="611" operator="equal">
      <formula>"Parcialmente cumplido"</formula>
    </cfRule>
    <cfRule type="cellIs" dxfId="532" priority="612" operator="equal">
      <formula>"No cumplido"</formula>
    </cfRule>
    <cfRule type="containsText" dxfId="531" priority="613" operator="containsText" text="Parcialmente cumplido">
      <formula>NOT(ISERROR(SEARCH("Parcialmente cumplido",G68)))</formula>
    </cfRule>
    <cfRule type="cellIs" dxfId="530" priority="614" operator="equal">
      <formula>"Cumplido"</formula>
    </cfRule>
    <cfRule type="containsText" dxfId="529" priority="615" operator="containsText" text="Sin cambios">
      <formula>NOT(ISERROR(SEARCH("Sin cambios",G68)))</formula>
    </cfRule>
    <cfRule type="cellIs" dxfId="528" priority="616" operator="equal">
      <formula>"En actualización / En proceso"</formula>
    </cfRule>
  </conditionalFormatting>
  <conditionalFormatting sqref="G69:H69">
    <cfRule type="cellIs" dxfId="527" priority="601" operator="equal">
      <formula>"No"</formula>
    </cfRule>
    <cfRule type="cellIs" dxfId="526" priority="602" operator="equal">
      <formula>"Sí"</formula>
    </cfRule>
    <cfRule type="cellIs" dxfId="525" priority="603" operator="equal">
      <formula>"Parcialmente cumplido"</formula>
    </cfRule>
    <cfRule type="cellIs" dxfId="524" priority="604" operator="equal">
      <formula>"No cumplido"</formula>
    </cfRule>
    <cfRule type="containsText" dxfId="523" priority="605" operator="containsText" text="Parcialmente cumplido">
      <formula>NOT(ISERROR(SEARCH("Parcialmente cumplido",G69)))</formula>
    </cfRule>
    <cfRule type="cellIs" dxfId="522" priority="606" operator="equal">
      <formula>"Cumplido"</formula>
    </cfRule>
    <cfRule type="containsText" dxfId="521" priority="607" operator="containsText" text="Sin cambios">
      <formula>NOT(ISERROR(SEARCH("Sin cambios",G69)))</formula>
    </cfRule>
    <cfRule type="cellIs" dxfId="520" priority="608" operator="equal">
      <formula>"En actualización / En proceso"</formula>
    </cfRule>
  </conditionalFormatting>
  <conditionalFormatting sqref="G70:H70">
    <cfRule type="cellIs" dxfId="519" priority="593" operator="equal">
      <formula>"No"</formula>
    </cfRule>
    <cfRule type="cellIs" dxfId="518" priority="594" operator="equal">
      <formula>"Sí"</formula>
    </cfRule>
    <cfRule type="cellIs" dxfId="517" priority="595" operator="equal">
      <formula>"Parcialmente cumplido"</formula>
    </cfRule>
    <cfRule type="cellIs" dxfId="516" priority="596" operator="equal">
      <formula>"No cumplido"</formula>
    </cfRule>
    <cfRule type="containsText" dxfId="515" priority="597" operator="containsText" text="Parcialmente cumplido">
      <formula>NOT(ISERROR(SEARCH("Parcialmente cumplido",G70)))</formula>
    </cfRule>
    <cfRule type="cellIs" dxfId="514" priority="598" operator="equal">
      <formula>"Cumplido"</formula>
    </cfRule>
    <cfRule type="containsText" dxfId="513" priority="599" operator="containsText" text="Sin cambios">
      <formula>NOT(ISERROR(SEARCH("Sin cambios",G70)))</formula>
    </cfRule>
    <cfRule type="cellIs" dxfId="512" priority="600" operator="equal">
      <formula>"En actualización / En proceso"</formula>
    </cfRule>
  </conditionalFormatting>
  <conditionalFormatting sqref="G138:H141">
    <cfRule type="cellIs" dxfId="511" priority="385" operator="equal">
      <formula>"No"</formula>
    </cfRule>
    <cfRule type="cellIs" dxfId="510" priority="386" operator="equal">
      <formula>"Sí"</formula>
    </cfRule>
    <cfRule type="cellIs" dxfId="509" priority="387" operator="equal">
      <formula>"Parcialmente cumplido"</formula>
    </cfRule>
    <cfRule type="cellIs" dxfId="508" priority="388" operator="equal">
      <formula>"No cumplido"</formula>
    </cfRule>
    <cfRule type="containsText" dxfId="507" priority="389" operator="containsText" text="Parcialmente cumplido">
      <formula>NOT(ISERROR(SEARCH("Parcialmente cumplido",G138)))</formula>
    </cfRule>
    <cfRule type="cellIs" dxfId="506" priority="390" operator="equal">
      <formula>"Cumplido"</formula>
    </cfRule>
    <cfRule type="containsText" dxfId="505" priority="391" operator="containsText" text="Sin cambios">
      <formula>NOT(ISERROR(SEARCH("Sin cambios",G138)))</formula>
    </cfRule>
    <cfRule type="cellIs" dxfId="504" priority="392" operator="equal">
      <formula>"En actualización / En proceso"</formula>
    </cfRule>
  </conditionalFormatting>
  <conditionalFormatting sqref="G74:H74">
    <cfRule type="cellIs" dxfId="503" priority="585" operator="equal">
      <formula>"No"</formula>
    </cfRule>
    <cfRule type="cellIs" dxfId="502" priority="586" operator="equal">
      <formula>"Sí"</formula>
    </cfRule>
    <cfRule type="cellIs" dxfId="501" priority="587" operator="equal">
      <formula>"Parcialmente cumplido"</formula>
    </cfRule>
    <cfRule type="cellIs" dxfId="500" priority="588" operator="equal">
      <formula>"No cumplido"</formula>
    </cfRule>
    <cfRule type="containsText" dxfId="499" priority="589" operator="containsText" text="Parcialmente cumplido">
      <formula>NOT(ISERROR(SEARCH("Parcialmente cumplido",G74)))</formula>
    </cfRule>
    <cfRule type="cellIs" dxfId="498" priority="590" operator="equal">
      <formula>"Cumplido"</formula>
    </cfRule>
    <cfRule type="containsText" dxfId="497" priority="591" operator="containsText" text="Sin cambios">
      <formula>NOT(ISERROR(SEARCH("Sin cambios",G74)))</formula>
    </cfRule>
    <cfRule type="cellIs" dxfId="496" priority="592" operator="equal">
      <formula>"En actualización / En proceso"</formula>
    </cfRule>
  </conditionalFormatting>
  <conditionalFormatting sqref="G75:H75">
    <cfRule type="cellIs" dxfId="495" priority="577" operator="equal">
      <formula>"No"</formula>
    </cfRule>
    <cfRule type="cellIs" dxfId="494" priority="578" operator="equal">
      <formula>"Sí"</formula>
    </cfRule>
    <cfRule type="cellIs" dxfId="493" priority="579" operator="equal">
      <formula>"Parcialmente cumplido"</formula>
    </cfRule>
    <cfRule type="cellIs" dxfId="492" priority="580" operator="equal">
      <formula>"No cumplido"</formula>
    </cfRule>
    <cfRule type="containsText" dxfId="491" priority="581" operator="containsText" text="Parcialmente cumplido">
      <formula>NOT(ISERROR(SEARCH("Parcialmente cumplido",G75)))</formula>
    </cfRule>
    <cfRule type="cellIs" dxfId="490" priority="582" operator="equal">
      <formula>"Cumplido"</formula>
    </cfRule>
    <cfRule type="containsText" dxfId="489" priority="583" operator="containsText" text="Sin cambios">
      <formula>NOT(ISERROR(SEARCH("Sin cambios",G75)))</formula>
    </cfRule>
    <cfRule type="cellIs" dxfId="488" priority="584" operator="equal">
      <formula>"En actualización / En proceso"</formula>
    </cfRule>
  </conditionalFormatting>
  <conditionalFormatting sqref="G76:H76">
    <cfRule type="cellIs" dxfId="487" priority="569" operator="equal">
      <formula>"No"</formula>
    </cfRule>
    <cfRule type="cellIs" dxfId="486" priority="570" operator="equal">
      <formula>"Sí"</formula>
    </cfRule>
    <cfRule type="cellIs" dxfId="485" priority="571" operator="equal">
      <formula>"Parcialmente cumplido"</formula>
    </cfRule>
    <cfRule type="cellIs" dxfId="484" priority="572" operator="equal">
      <formula>"No cumplido"</formula>
    </cfRule>
    <cfRule type="containsText" dxfId="483" priority="573" operator="containsText" text="Parcialmente cumplido">
      <formula>NOT(ISERROR(SEARCH("Parcialmente cumplido",G76)))</formula>
    </cfRule>
    <cfRule type="cellIs" dxfId="482" priority="574" operator="equal">
      <formula>"Cumplido"</formula>
    </cfRule>
    <cfRule type="containsText" dxfId="481" priority="575" operator="containsText" text="Sin cambios">
      <formula>NOT(ISERROR(SEARCH("Sin cambios",G76)))</formula>
    </cfRule>
    <cfRule type="cellIs" dxfId="480" priority="576" operator="equal">
      <formula>"En actualización / En proceso"</formula>
    </cfRule>
  </conditionalFormatting>
  <conditionalFormatting sqref="G85:H88">
    <cfRule type="cellIs" dxfId="479" priority="529" operator="equal">
      <formula>"No"</formula>
    </cfRule>
    <cfRule type="cellIs" dxfId="478" priority="530" operator="equal">
      <formula>"Sí"</formula>
    </cfRule>
    <cfRule type="cellIs" dxfId="477" priority="531" operator="equal">
      <formula>"Parcialmente cumplido"</formula>
    </cfRule>
    <cfRule type="cellIs" dxfId="476" priority="532" operator="equal">
      <formula>"No cumplido"</formula>
    </cfRule>
    <cfRule type="containsText" dxfId="475" priority="533" operator="containsText" text="Parcialmente cumplido">
      <formula>NOT(ISERROR(SEARCH("Parcialmente cumplido",G85)))</formula>
    </cfRule>
    <cfRule type="cellIs" dxfId="474" priority="534" operator="equal">
      <formula>"Cumplido"</formula>
    </cfRule>
    <cfRule type="containsText" dxfId="473" priority="535" operator="containsText" text="Sin cambios">
      <formula>NOT(ISERROR(SEARCH("Sin cambios",G85)))</formula>
    </cfRule>
    <cfRule type="cellIs" dxfId="472" priority="536" operator="equal">
      <formula>"En actualización / En proceso"</formula>
    </cfRule>
  </conditionalFormatting>
  <conditionalFormatting sqref="G82:H82">
    <cfRule type="cellIs" dxfId="471" priority="553" operator="equal">
      <formula>"No"</formula>
    </cfRule>
    <cfRule type="cellIs" dxfId="470" priority="554" operator="equal">
      <formula>"Sí"</formula>
    </cfRule>
    <cfRule type="cellIs" dxfId="469" priority="555" operator="equal">
      <formula>"Parcialmente cumplido"</formula>
    </cfRule>
    <cfRule type="cellIs" dxfId="468" priority="556" operator="equal">
      <formula>"No cumplido"</formula>
    </cfRule>
    <cfRule type="containsText" dxfId="467" priority="557" operator="containsText" text="Parcialmente cumplido">
      <formula>NOT(ISERROR(SEARCH("Parcialmente cumplido",G82)))</formula>
    </cfRule>
    <cfRule type="cellIs" dxfId="466" priority="558" operator="equal">
      <formula>"Cumplido"</formula>
    </cfRule>
    <cfRule type="containsText" dxfId="465" priority="559" operator="containsText" text="Sin cambios">
      <formula>NOT(ISERROR(SEARCH("Sin cambios",G82)))</formula>
    </cfRule>
    <cfRule type="cellIs" dxfId="464" priority="560" operator="equal">
      <formula>"En actualización / En proceso"</formula>
    </cfRule>
  </conditionalFormatting>
  <conditionalFormatting sqref="G83:H83">
    <cfRule type="cellIs" dxfId="463" priority="545" operator="equal">
      <formula>"No"</formula>
    </cfRule>
    <cfRule type="cellIs" dxfId="462" priority="546" operator="equal">
      <formula>"Sí"</formula>
    </cfRule>
    <cfRule type="cellIs" dxfId="461" priority="547" operator="equal">
      <formula>"Parcialmente cumplido"</formula>
    </cfRule>
    <cfRule type="cellIs" dxfId="460" priority="548" operator="equal">
      <formula>"No cumplido"</formula>
    </cfRule>
    <cfRule type="containsText" dxfId="459" priority="549" operator="containsText" text="Parcialmente cumplido">
      <formula>NOT(ISERROR(SEARCH("Parcialmente cumplido",G83)))</formula>
    </cfRule>
    <cfRule type="cellIs" dxfId="458" priority="550" operator="equal">
      <formula>"Cumplido"</formula>
    </cfRule>
    <cfRule type="containsText" dxfId="457" priority="551" operator="containsText" text="Sin cambios">
      <formula>NOT(ISERROR(SEARCH("Sin cambios",G83)))</formula>
    </cfRule>
    <cfRule type="cellIs" dxfId="456" priority="552" operator="equal">
      <formula>"En actualización / En proceso"</formula>
    </cfRule>
  </conditionalFormatting>
  <conditionalFormatting sqref="G84:H84">
    <cfRule type="cellIs" dxfId="455" priority="537" operator="equal">
      <formula>"No"</formula>
    </cfRule>
    <cfRule type="cellIs" dxfId="454" priority="538" operator="equal">
      <formula>"Sí"</formula>
    </cfRule>
    <cfRule type="cellIs" dxfId="453" priority="539" operator="equal">
      <formula>"Parcialmente cumplido"</formula>
    </cfRule>
    <cfRule type="cellIs" dxfId="452" priority="540" operator="equal">
      <formula>"No cumplido"</formula>
    </cfRule>
    <cfRule type="containsText" dxfId="451" priority="541" operator="containsText" text="Parcialmente cumplido">
      <formula>NOT(ISERROR(SEARCH("Parcialmente cumplido",G84)))</formula>
    </cfRule>
    <cfRule type="cellIs" dxfId="450" priority="542" operator="equal">
      <formula>"Cumplido"</formula>
    </cfRule>
    <cfRule type="containsText" dxfId="449" priority="543" operator="containsText" text="Sin cambios">
      <formula>NOT(ISERROR(SEARCH("Sin cambios",G84)))</formula>
    </cfRule>
    <cfRule type="cellIs" dxfId="448" priority="544" operator="equal">
      <formula>"En actualización / En proceso"</formula>
    </cfRule>
  </conditionalFormatting>
  <conditionalFormatting sqref="G152:H153">
    <cfRule type="cellIs" dxfId="447" priority="353" operator="equal">
      <formula>"No"</formula>
    </cfRule>
    <cfRule type="cellIs" dxfId="446" priority="354" operator="equal">
      <formula>"Sí"</formula>
    </cfRule>
    <cfRule type="cellIs" dxfId="445" priority="355" operator="equal">
      <formula>"Parcialmente cumplido"</formula>
    </cfRule>
    <cfRule type="cellIs" dxfId="444" priority="356" operator="equal">
      <formula>"No cumplido"</formula>
    </cfRule>
    <cfRule type="containsText" dxfId="443" priority="357" operator="containsText" text="Parcialmente cumplido">
      <formula>NOT(ISERROR(SEARCH("Parcialmente cumplido",G152)))</formula>
    </cfRule>
    <cfRule type="cellIs" dxfId="442" priority="358" operator="equal">
      <formula>"Cumplido"</formula>
    </cfRule>
    <cfRule type="containsText" dxfId="441" priority="359" operator="containsText" text="Sin cambios">
      <formula>NOT(ISERROR(SEARCH("Sin cambios",G152)))</formula>
    </cfRule>
    <cfRule type="cellIs" dxfId="440" priority="360" operator="equal">
      <formula>"En actualización / En proceso"</formula>
    </cfRule>
  </conditionalFormatting>
  <conditionalFormatting sqref="G98:H98">
    <cfRule type="cellIs" dxfId="439" priority="521" operator="equal">
      <formula>"No"</formula>
    </cfRule>
    <cfRule type="cellIs" dxfId="438" priority="522" operator="equal">
      <formula>"Sí"</formula>
    </cfRule>
    <cfRule type="cellIs" dxfId="437" priority="523" operator="equal">
      <formula>"Parcialmente cumplido"</formula>
    </cfRule>
    <cfRule type="cellIs" dxfId="436" priority="524" operator="equal">
      <formula>"No cumplido"</formula>
    </cfRule>
    <cfRule type="containsText" dxfId="435" priority="525" operator="containsText" text="Parcialmente cumplido">
      <formula>NOT(ISERROR(SEARCH("Parcialmente cumplido",G98)))</formula>
    </cfRule>
    <cfRule type="cellIs" dxfId="434" priority="526" operator="equal">
      <formula>"Cumplido"</formula>
    </cfRule>
    <cfRule type="containsText" dxfId="433" priority="527" operator="containsText" text="Sin cambios">
      <formula>NOT(ISERROR(SEARCH("Sin cambios",G98)))</formula>
    </cfRule>
    <cfRule type="cellIs" dxfId="432" priority="528" operator="equal">
      <formula>"En actualización / En proceso"</formula>
    </cfRule>
  </conditionalFormatting>
  <conditionalFormatting sqref="G99:H99">
    <cfRule type="cellIs" dxfId="431" priority="513" operator="equal">
      <formula>"No"</formula>
    </cfRule>
    <cfRule type="cellIs" dxfId="430" priority="514" operator="equal">
      <formula>"Sí"</formula>
    </cfRule>
    <cfRule type="cellIs" dxfId="429" priority="515" operator="equal">
      <formula>"Parcialmente cumplido"</formula>
    </cfRule>
    <cfRule type="cellIs" dxfId="428" priority="516" operator="equal">
      <formula>"No cumplido"</formula>
    </cfRule>
    <cfRule type="containsText" dxfId="427" priority="517" operator="containsText" text="Parcialmente cumplido">
      <formula>NOT(ISERROR(SEARCH("Parcialmente cumplido",G99)))</formula>
    </cfRule>
    <cfRule type="cellIs" dxfId="426" priority="518" operator="equal">
      <formula>"Cumplido"</formula>
    </cfRule>
    <cfRule type="containsText" dxfId="425" priority="519" operator="containsText" text="Sin cambios">
      <formula>NOT(ISERROR(SEARCH("Sin cambios",G99)))</formula>
    </cfRule>
    <cfRule type="cellIs" dxfId="424" priority="520" operator="equal">
      <formula>"En actualización / En proceso"</formula>
    </cfRule>
  </conditionalFormatting>
  <conditionalFormatting sqref="G100:H100">
    <cfRule type="cellIs" dxfId="423" priority="505" operator="equal">
      <formula>"No"</formula>
    </cfRule>
    <cfRule type="cellIs" dxfId="422" priority="506" operator="equal">
      <formula>"Sí"</formula>
    </cfRule>
    <cfRule type="cellIs" dxfId="421" priority="507" operator="equal">
      <formula>"Parcialmente cumplido"</formula>
    </cfRule>
    <cfRule type="cellIs" dxfId="420" priority="508" operator="equal">
      <formula>"No cumplido"</formula>
    </cfRule>
    <cfRule type="containsText" dxfId="419" priority="509" operator="containsText" text="Parcialmente cumplido">
      <formula>NOT(ISERROR(SEARCH("Parcialmente cumplido",G100)))</formula>
    </cfRule>
    <cfRule type="cellIs" dxfId="418" priority="510" operator="equal">
      <formula>"Cumplido"</formula>
    </cfRule>
    <cfRule type="containsText" dxfId="417" priority="511" operator="containsText" text="Sin cambios">
      <formula>NOT(ISERROR(SEARCH("Sin cambios",G100)))</formula>
    </cfRule>
    <cfRule type="cellIs" dxfId="416" priority="512" operator="equal">
      <formula>"En actualización / En proceso"</formula>
    </cfRule>
  </conditionalFormatting>
  <conditionalFormatting sqref="G101:H101">
    <cfRule type="cellIs" dxfId="415" priority="497" operator="equal">
      <formula>"No"</formula>
    </cfRule>
    <cfRule type="cellIs" dxfId="414" priority="498" operator="equal">
      <formula>"Sí"</formula>
    </cfRule>
    <cfRule type="cellIs" dxfId="413" priority="499" operator="equal">
      <formula>"Parcialmente cumplido"</formula>
    </cfRule>
    <cfRule type="cellIs" dxfId="412" priority="500" operator="equal">
      <formula>"No cumplido"</formula>
    </cfRule>
    <cfRule type="containsText" dxfId="411" priority="501" operator="containsText" text="Parcialmente cumplido">
      <formula>NOT(ISERROR(SEARCH("Parcialmente cumplido",G101)))</formula>
    </cfRule>
    <cfRule type="cellIs" dxfId="410" priority="502" operator="equal">
      <formula>"Cumplido"</formula>
    </cfRule>
    <cfRule type="containsText" dxfId="409" priority="503" operator="containsText" text="Sin cambios">
      <formula>NOT(ISERROR(SEARCH("Sin cambios",G101)))</formula>
    </cfRule>
    <cfRule type="cellIs" dxfId="408" priority="504" operator="equal">
      <formula>"En actualización / En proceso"</formula>
    </cfRule>
  </conditionalFormatting>
  <conditionalFormatting sqref="G105:H105">
    <cfRule type="cellIs" dxfId="407" priority="489" operator="equal">
      <formula>"No"</formula>
    </cfRule>
    <cfRule type="cellIs" dxfId="406" priority="490" operator="equal">
      <formula>"Sí"</formula>
    </cfRule>
    <cfRule type="cellIs" dxfId="405" priority="491" operator="equal">
      <formula>"Parcialmente cumplido"</formula>
    </cfRule>
    <cfRule type="cellIs" dxfId="404" priority="492" operator="equal">
      <formula>"No cumplido"</formula>
    </cfRule>
    <cfRule type="containsText" dxfId="403" priority="493" operator="containsText" text="Parcialmente cumplido">
      <formula>NOT(ISERROR(SEARCH("Parcialmente cumplido",G105)))</formula>
    </cfRule>
    <cfRule type="cellIs" dxfId="402" priority="494" operator="equal">
      <formula>"Cumplido"</formula>
    </cfRule>
    <cfRule type="containsText" dxfId="401" priority="495" operator="containsText" text="Sin cambios">
      <formula>NOT(ISERROR(SEARCH("Sin cambios",G105)))</formula>
    </cfRule>
    <cfRule type="cellIs" dxfId="400" priority="496" operator="equal">
      <formula>"En actualización / En proceso"</formula>
    </cfRule>
  </conditionalFormatting>
  <conditionalFormatting sqref="G189:H189">
    <cfRule type="cellIs" dxfId="399" priority="305" operator="equal">
      <formula>"No"</formula>
    </cfRule>
    <cfRule type="cellIs" dxfId="398" priority="306" operator="equal">
      <formula>"Sí"</formula>
    </cfRule>
    <cfRule type="cellIs" dxfId="397" priority="307" operator="equal">
      <formula>"Parcialmente cumplido"</formula>
    </cfRule>
    <cfRule type="cellIs" dxfId="396" priority="308" operator="equal">
      <formula>"No cumplido"</formula>
    </cfRule>
    <cfRule type="containsText" dxfId="395" priority="309" operator="containsText" text="Parcialmente cumplido">
      <formula>NOT(ISERROR(SEARCH("Parcialmente cumplido",G189)))</formula>
    </cfRule>
    <cfRule type="cellIs" dxfId="394" priority="310" operator="equal">
      <formula>"Cumplido"</formula>
    </cfRule>
    <cfRule type="containsText" dxfId="393" priority="311" operator="containsText" text="Sin cambios">
      <formula>NOT(ISERROR(SEARCH("Sin cambios",G189)))</formula>
    </cfRule>
    <cfRule type="cellIs" dxfId="392" priority="312" operator="equal">
      <formula>"En actualización / En proceso"</formula>
    </cfRule>
  </conditionalFormatting>
  <conditionalFormatting sqref="G190:H191">
    <cfRule type="cellIs" dxfId="391" priority="297" operator="equal">
      <formula>"No"</formula>
    </cfRule>
    <cfRule type="cellIs" dxfId="390" priority="298" operator="equal">
      <formula>"Sí"</formula>
    </cfRule>
    <cfRule type="cellIs" dxfId="389" priority="299" operator="equal">
      <formula>"Parcialmente cumplido"</formula>
    </cfRule>
    <cfRule type="cellIs" dxfId="388" priority="300" operator="equal">
      <formula>"No cumplido"</formula>
    </cfRule>
    <cfRule type="containsText" dxfId="387" priority="301" operator="containsText" text="Parcialmente cumplido">
      <formula>NOT(ISERROR(SEARCH("Parcialmente cumplido",G190)))</formula>
    </cfRule>
    <cfRule type="cellIs" dxfId="386" priority="302" operator="equal">
      <formula>"Cumplido"</formula>
    </cfRule>
    <cfRule type="containsText" dxfId="385" priority="303" operator="containsText" text="Sin cambios">
      <formula>NOT(ISERROR(SEARCH("Sin cambios",G190)))</formula>
    </cfRule>
    <cfRule type="cellIs" dxfId="384" priority="304" operator="equal">
      <formula>"En actualización / En proceso"</formula>
    </cfRule>
  </conditionalFormatting>
  <conditionalFormatting sqref="G89:H89">
    <cfRule type="cellIs" dxfId="383" priority="481" operator="equal">
      <formula>"No"</formula>
    </cfRule>
    <cfRule type="cellIs" dxfId="382" priority="482" operator="equal">
      <formula>"Sí"</formula>
    </cfRule>
    <cfRule type="cellIs" dxfId="381" priority="483" operator="equal">
      <formula>"Parcialmente cumplido"</formula>
    </cfRule>
    <cfRule type="cellIs" dxfId="380" priority="484" operator="equal">
      <formula>"No cumplido"</formula>
    </cfRule>
    <cfRule type="containsText" dxfId="379" priority="485" operator="containsText" text="Parcialmente cumplido">
      <formula>NOT(ISERROR(SEARCH("Parcialmente cumplido",G89)))</formula>
    </cfRule>
    <cfRule type="cellIs" dxfId="378" priority="486" operator="equal">
      <formula>"Cumplido"</formula>
    </cfRule>
    <cfRule type="containsText" dxfId="377" priority="487" operator="containsText" text="Sin cambios">
      <formula>NOT(ISERROR(SEARCH("Sin cambios",G89)))</formula>
    </cfRule>
    <cfRule type="cellIs" dxfId="376" priority="488" operator="equal">
      <formula>"En actualización / En proceso"</formula>
    </cfRule>
  </conditionalFormatting>
  <conditionalFormatting sqref="G90:H90">
    <cfRule type="cellIs" dxfId="375" priority="473" operator="equal">
      <formula>"No"</formula>
    </cfRule>
    <cfRule type="cellIs" dxfId="374" priority="474" operator="equal">
      <formula>"Sí"</formula>
    </cfRule>
    <cfRule type="cellIs" dxfId="373" priority="475" operator="equal">
      <formula>"Parcialmente cumplido"</formula>
    </cfRule>
    <cfRule type="cellIs" dxfId="372" priority="476" operator="equal">
      <formula>"No cumplido"</formula>
    </cfRule>
    <cfRule type="containsText" dxfId="371" priority="477" operator="containsText" text="Parcialmente cumplido">
      <formula>NOT(ISERROR(SEARCH("Parcialmente cumplido",G90)))</formula>
    </cfRule>
    <cfRule type="cellIs" dxfId="370" priority="478" operator="equal">
      <formula>"Cumplido"</formula>
    </cfRule>
    <cfRule type="containsText" dxfId="369" priority="479" operator="containsText" text="Sin cambios">
      <formula>NOT(ISERROR(SEARCH("Sin cambios",G90)))</formula>
    </cfRule>
    <cfRule type="cellIs" dxfId="368" priority="480" operator="equal">
      <formula>"En actualización / En proceso"</formula>
    </cfRule>
  </conditionalFormatting>
  <conditionalFormatting sqref="G196:H213">
    <cfRule type="cellIs" dxfId="367" priority="281" operator="equal">
      <formula>"No"</formula>
    </cfRule>
    <cfRule type="cellIs" dxfId="366" priority="282" operator="equal">
      <formula>"Sí"</formula>
    </cfRule>
    <cfRule type="cellIs" dxfId="365" priority="283" operator="equal">
      <formula>"Parcialmente cumplido"</formula>
    </cfRule>
    <cfRule type="cellIs" dxfId="364" priority="284" operator="equal">
      <formula>"No cumplido"</formula>
    </cfRule>
    <cfRule type="containsText" dxfId="363" priority="285" operator="containsText" text="Parcialmente cumplido">
      <formula>NOT(ISERROR(SEARCH("Parcialmente cumplido",G196)))</formula>
    </cfRule>
    <cfRule type="cellIs" dxfId="362" priority="286" operator="equal">
      <formula>"Cumplido"</formula>
    </cfRule>
    <cfRule type="containsText" dxfId="361" priority="287" operator="containsText" text="Sin cambios">
      <formula>NOT(ISERROR(SEARCH("Sin cambios",G196)))</formula>
    </cfRule>
    <cfRule type="cellIs" dxfId="360" priority="288" operator="equal">
      <formula>"En actualización / En proceso"</formula>
    </cfRule>
  </conditionalFormatting>
  <conditionalFormatting sqref="G91:H91">
    <cfRule type="cellIs" dxfId="359" priority="465" operator="equal">
      <formula>"No"</formula>
    </cfRule>
    <cfRule type="cellIs" dxfId="358" priority="466" operator="equal">
      <formula>"Sí"</formula>
    </cfRule>
    <cfRule type="cellIs" dxfId="357" priority="467" operator="equal">
      <formula>"Parcialmente cumplido"</formula>
    </cfRule>
    <cfRule type="cellIs" dxfId="356" priority="468" operator="equal">
      <formula>"No cumplido"</formula>
    </cfRule>
    <cfRule type="containsText" dxfId="355" priority="469" operator="containsText" text="Parcialmente cumplido">
      <formula>NOT(ISERROR(SEARCH("Parcialmente cumplido",G91)))</formula>
    </cfRule>
    <cfRule type="cellIs" dxfId="354" priority="470" operator="equal">
      <formula>"Cumplido"</formula>
    </cfRule>
    <cfRule type="containsText" dxfId="353" priority="471" operator="containsText" text="Sin cambios">
      <formula>NOT(ISERROR(SEARCH("Sin cambios",G91)))</formula>
    </cfRule>
    <cfRule type="cellIs" dxfId="352" priority="472" operator="equal">
      <formula>"En actualización / En proceso"</formula>
    </cfRule>
  </conditionalFormatting>
  <conditionalFormatting sqref="G92:H94">
    <cfRule type="cellIs" dxfId="351" priority="457" operator="equal">
      <formula>"No"</formula>
    </cfRule>
    <cfRule type="cellIs" dxfId="350" priority="458" operator="equal">
      <formula>"Sí"</formula>
    </cfRule>
    <cfRule type="cellIs" dxfId="349" priority="459" operator="equal">
      <formula>"Parcialmente cumplido"</formula>
    </cfRule>
    <cfRule type="cellIs" dxfId="348" priority="460" operator="equal">
      <formula>"No cumplido"</formula>
    </cfRule>
    <cfRule type="containsText" dxfId="347" priority="461" operator="containsText" text="Parcialmente cumplido">
      <formula>NOT(ISERROR(SEARCH("Parcialmente cumplido",G92)))</formula>
    </cfRule>
    <cfRule type="cellIs" dxfId="346" priority="462" operator="equal">
      <formula>"Cumplido"</formula>
    </cfRule>
    <cfRule type="containsText" dxfId="345" priority="463" operator="containsText" text="Sin cambios">
      <formula>NOT(ISERROR(SEARCH("Sin cambios",G92)))</formula>
    </cfRule>
    <cfRule type="cellIs" dxfId="344" priority="464" operator="equal">
      <formula>"En actualización / En proceso"</formula>
    </cfRule>
  </conditionalFormatting>
  <conditionalFormatting sqref="G245:H245">
    <cfRule type="cellIs" dxfId="343" priority="257" operator="equal">
      <formula>"No"</formula>
    </cfRule>
    <cfRule type="cellIs" dxfId="342" priority="258" operator="equal">
      <formula>"Sí"</formula>
    </cfRule>
    <cfRule type="cellIs" dxfId="341" priority="259" operator="equal">
      <formula>"Parcialmente cumplido"</formula>
    </cfRule>
    <cfRule type="cellIs" dxfId="340" priority="260" operator="equal">
      <formula>"No cumplido"</formula>
    </cfRule>
    <cfRule type="containsText" dxfId="339" priority="261" operator="containsText" text="Parcialmente cumplido">
      <formula>NOT(ISERROR(SEARCH("Parcialmente cumplido",G245)))</formula>
    </cfRule>
    <cfRule type="cellIs" dxfId="338" priority="262" operator="equal">
      <formula>"Cumplido"</formula>
    </cfRule>
    <cfRule type="containsText" dxfId="337" priority="263" operator="containsText" text="Sin cambios">
      <formula>NOT(ISERROR(SEARCH("Sin cambios",G245)))</formula>
    </cfRule>
    <cfRule type="cellIs" dxfId="336" priority="264" operator="equal">
      <formula>"En actualización / En proceso"</formula>
    </cfRule>
  </conditionalFormatting>
  <conditionalFormatting sqref="G246:H249">
    <cfRule type="cellIs" dxfId="335" priority="249" operator="equal">
      <formula>"No"</formula>
    </cfRule>
    <cfRule type="cellIs" dxfId="334" priority="250" operator="equal">
      <formula>"Sí"</formula>
    </cfRule>
    <cfRule type="cellIs" dxfId="333" priority="251" operator="equal">
      <formula>"Parcialmente cumplido"</formula>
    </cfRule>
    <cfRule type="cellIs" dxfId="332" priority="252" operator="equal">
      <formula>"No cumplido"</formula>
    </cfRule>
    <cfRule type="containsText" dxfId="331" priority="253" operator="containsText" text="Parcialmente cumplido">
      <formula>NOT(ISERROR(SEARCH("Parcialmente cumplido",G246)))</formula>
    </cfRule>
    <cfRule type="cellIs" dxfId="330" priority="254" operator="equal">
      <formula>"Cumplido"</formula>
    </cfRule>
    <cfRule type="containsText" dxfId="329" priority="255" operator="containsText" text="Sin cambios">
      <formula>NOT(ISERROR(SEARCH("Sin cambios",G246)))</formula>
    </cfRule>
    <cfRule type="cellIs" dxfId="328" priority="256" operator="equal">
      <formula>"En actualización / En proceso"</formula>
    </cfRule>
  </conditionalFormatting>
  <conditionalFormatting sqref="G106:H116">
    <cfRule type="cellIs" dxfId="327" priority="449" operator="equal">
      <formula>"No"</formula>
    </cfRule>
    <cfRule type="cellIs" dxfId="326" priority="450" operator="equal">
      <formula>"Sí"</formula>
    </cfRule>
    <cfRule type="cellIs" dxfId="325" priority="451" operator="equal">
      <formula>"Parcialmente cumplido"</formula>
    </cfRule>
    <cfRule type="cellIs" dxfId="324" priority="452" operator="equal">
      <formula>"No cumplido"</formula>
    </cfRule>
    <cfRule type="containsText" dxfId="323" priority="453" operator="containsText" text="Parcialmente cumplido">
      <formula>NOT(ISERROR(SEARCH("Parcialmente cumplido",G106)))</formula>
    </cfRule>
    <cfRule type="cellIs" dxfId="322" priority="454" operator="equal">
      <formula>"Cumplido"</formula>
    </cfRule>
    <cfRule type="containsText" dxfId="321" priority="455" operator="containsText" text="Sin cambios">
      <formula>NOT(ISERROR(SEARCH("Sin cambios",G106)))</formula>
    </cfRule>
    <cfRule type="cellIs" dxfId="320" priority="456" operator="equal">
      <formula>"En actualización / En proceso"</formula>
    </cfRule>
  </conditionalFormatting>
  <conditionalFormatting sqref="G120:H120">
    <cfRule type="cellIs" dxfId="319" priority="441" operator="equal">
      <formula>"No"</formula>
    </cfRule>
    <cfRule type="cellIs" dxfId="318" priority="442" operator="equal">
      <formula>"Sí"</formula>
    </cfRule>
    <cfRule type="cellIs" dxfId="317" priority="443" operator="equal">
      <formula>"Parcialmente cumplido"</formula>
    </cfRule>
    <cfRule type="cellIs" dxfId="316" priority="444" operator="equal">
      <formula>"No cumplido"</formula>
    </cfRule>
    <cfRule type="containsText" dxfId="315" priority="445" operator="containsText" text="Parcialmente cumplido">
      <formula>NOT(ISERROR(SEARCH("Parcialmente cumplido",G120)))</formula>
    </cfRule>
    <cfRule type="cellIs" dxfId="314" priority="446" operator="equal">
      <formula>"Cumplido"</formula>
    </cfRule>
    <cfRule type="containsText" dxfId="313" priority="447" operator="containsText" text="Sin cambios">
      <formula>NOT(ISERROR(SEARCH("Sin cambios",G120)))</formula>
    </cfRule>
    <cfRule type="cellIs" dxfId="312" priority="448" operator="equal">
      <formula>"En actualización / En proceso"</formula>
    </cfRule>
  </conditionalFormatting>
  <conditionalFormatting sqref="G121:H121">
    <cfRule type="cellIs" dxfId="311" priority="433" operator="equal">
      <formula>"No"</formula>
    </cfRule>
    <cfRule type="cellIs" dxfId="310" priority="434" operator="equal">
      <formula>"Sí"</formula>
    </cfRule>
    <cfRule type="cellIs" dxfId="309" priority="435" operator="equal">
      <formula>"Parcialmente cumplido"</formula>
    </cfRule>
    <cfRule type="cellIs" dxfId="308" priority="436" operator="equal">
      <formula>"No cumplido"</formula>
    </cfRule>
    <cfRule type="containsText" dxfId="307" priority="437" operator="containsText" text="Parcialmente cumplido">
      <formula>NOT(ISERROR(SEARCH("Parcialmente cumplido",G121)))</formula>
    </cfRule>
    <cfRule type="cellIs" dxfId="306" priority="438" operator="equal">
      <formula>"Cumplido"</formula>
    </cfRule>
    <cfRule type="containsText" dxfId="305" priority="439" operator="containsText" text="Sin cambios">
      <formula>NOT(ISERROR(SEARCH("Sin cambios",G121)))</formula>
    </cfRule>
    <cfRule type="cellIs" dxfId="304" priority="440" operator="equal">
      <formula>"En actualización / En proceso"</formula>
    </cfRule>
  </conditionalFormatting>
  <conditionalFormatting sqref="G125:H125">
    <cfRule type="cellIs" dxfId="303" priority="425" operator="equal">
      <formula>"No"</formula>
    </cfRule>
    <cfRule type="cellIs" dxfId="302" priority="426" operator="equal">
      <formula>"Sí"</formula>
    </cfRule>
    <cfRule type="cellIs" dxfId="301" priority="427" operator="equal">
      <formula>"Parcialmente cumplido"</formula>
    </cfRule>
    <cfRule type="cellIs" dxfId="300" priority="428" operator="equal">
      <formula>"No cumplido"</formula>
    </cfRule>
    <cfRule type="containsText" dxfId="299" priority="429" operator="containsText" text="Parcialmente cumplido">
      <formula>NOT(ISERROR(SEARCH("Parcialmente cumplido",G125)))</formula>
    </cfRule>
    <cfRule type="cellIs" dxfId="298" priority="430" operator="equal">
      <formula>"Cumplido"</formula>
    </cfRule>
    <cfRule type="containsText" dxfId="297" priority="431" operator="containsText" text="Sin cambios">
      <formula>NOT(ISERROR(SEARCH("Sin cambios",G125)))</formula>
    </cfRule>
    <cfRule type="cellIs" dxfId="296" priority="432" operator="equal">
      <formula>"En actualización / En proceso"</formula>
    </cfRule>
  </conditionalFormatting>
  <conditionalFormatting sqref="G126:H126">
    <cfRule type="cellIs" dxfId="295" priority="417" operator="equal">
      <formula>"No"</formula>
    </cfRule>
    <cfRule type="cellIs" dxfId="294" priority="418" operator="equal">
      <formula>"Sí"</formula>
    </cfRule>
    <cfRule type="cellIs" dxfId="293" priority="419" operator="equal">
      <formula>"Parcialmente cumplido"</formula>
    </cfRule>
    <cfRule type="cellIs" dxfId="292" priority="420" operator="equal">
      <formula>"No cumplido"</formula>
    </cfRule>
    <cfRule type="containsText" dxfId="291" priority="421" operator="containsText" text="Parcialmente cumplido">
      <formula>NOT(ISERROR(SEARCH("Parcialmente cumplido",G126)))</formula>
    </cfRule>
    <cfRule type="cellIs" dxfId="290" priority="422" operator="equal">
      <formula>"Cumplido"</formula>
    </cfRule>
    <cfRule type="containsText" dxfId="289" priority="423" operator="containsText" text="Sin cambios">
      <formula>NOT(ISERROR(SEARCH("Sin cambios",G126)))</formula>
    </cfRule>
    <cfRule type="cellIs" dxfId="288" priority="424" operator="equal">
      <formula>"En actualización / En proceso"</formula>
    </cfRule>
  </conditionalFormatting>
  <conditionalFormatting sqref="G130:H130">
    <cfRule type="cellIs" dxfId="287" priority="409" operator="equal">
      <formula>"No"</formula>
    </cfRule>
    <cfRule type="cellIs" dxfId="286" priority="410" operator="equal">
      <formula>"Sí"</formula>
    </cfRule>
    <cfRule type="cellIs" dxfId="285" priority="411" operator="equal">
      <formula>"Parcialmente cumplido"</formula>
    </cfRule>
    <cfRule type="cellIs" dxfId="284" priority="412" operator="equal">
      <formula>"No cumplido"</formula>
    </cfRule>
    <cfRule type="containsText" dxfId="283" priority="413" operator="containsText" text="Parcialmente cumplido">
      <formula>NOT(ISERROR(SEARCH("Parcialmente cumplido",G130)))</formula>
    </cfRule>
    <cfRule type="cellIs" dxfId="282" priority="414" operator="equal">
      <formula>"Cumplido"</formula>
    </cfRule>
    <cfRule type="containsText" dxfId="281" priority="415" operator="containsText" text="Sin cambios">
      <formula>NOT(ISERROR(SEARCH("Sin cambios",G130)))</formula>
    </cfRule>
    <cfRule type="cellIs" dxfId="280" priority="416" operator="equal">
      <formula>"En actualización / En proceso"</formula>
    </cfRule>
  </conditionalFormatting>
  <conditionalFormatting sqref="G131:H131">
    <cfRule type="cellIs" dxfId="279" priority="401" operator="equal">
      <formula>"No"</formula>
    </cfRule>
    <cfRule type="cellIs" dxfId="278" priority="402" operator="equal">
      <formula>"Sí"</formula>
    </cfRule>
    <cfRule type="cellIs" dxfId="277" priority="403" operator="equal">
      <formula>"Parcialmente cumplido"</formula>
    </cfRule>
    <cfRule type="cellIs" dxfId="276" priority="404" operator="equal">
      <formula>"No cumplido"</formula>
    </cfRule>
    <cfRule type="containsText" dxfId="275" priority="405" operator="containsText" text="Parcialmente cumplido">
      <formula>NOT(ISERROR(SEARCH("Parcialmente cumplido",G131)))</formula>
    </cfRule>
    <cfRule type="cellIs" dxfId="274" priority="406" operator="equal">
      <formula>"Cumplido"</formula>
    </cfRule>
    <cfRule type="containsText" dxfId="273" priority="407" operator="containsText" text="Sin cambios">
      <formula>NOT(ISERROR(SEARCH("Sin cambios",G131)))</formula>
    </cfRule>
    <cfRule type="cellIs" dxfId="272" priority="408" operator="equal">
      <formula>"En actualización / En proceso"</formula>
    </cfRule>
  </conditionalFormatting>
  <conditionalFormatting sqref="G137:H137">
    <cfRule type="cellIs" dxfId="271" priority="393" operator="equal">
      <formula>"No"</formula>
    </cfRule>
    <cfRule type="cellIs" dxfId="270" priority="394" operator="equal">
      <formula>"Sí"</formula>
    </cfRule>
    <cfRule type="cellIs" dxfId="269" priority="395" operator="equal">
      <formula>"Parcialmente cumplido"</formula>
    </cfRule>
    <cfRule type="cellIs" dxfId="268" priority="396" operator="equal">
      <formula>"No cumplido"</formula>
    </cfRule>
    <cfRule type="containsText" dxfId="267" priority="397" operator="containsText" text="Parcialmente cumplido">
      <formula>NOT(ISERROR(SEARCH("Parcialmente cumplido",G137)))</formula>
    </cfRule>
    <cfRule type="cellIs" dxfId="266" priority="398" operator="equal">
      <formula>"Cumplido"</formula>
    </cfRule>
    <cfRule type="containsText" dxfId="265" priority="399" operator="containsText" text="Sin cambios">
      <formula>NOT(ISERROR(SEARCH("Sin cambios",G137)))</formula>
    </cfRule>
    <cfRule type="cellIs" dxfId="264" priority="400" operator="equal">
      <formula>"En actualización / En proceso"</formula>
    </cfRule>
  </conditionalFormatting>
  <conditionalFormatting sqref="G145:H145">
    <cfRule type="cellIs" dxfId="263" priority="377" operator="equal">
      <formula>"No"</formula>
    </cfRule>
    <cfRule type="cellIs" dxfId="262" priority="378" operator="equal">
      <formula>"Sí"</formula>
    </cfRule>
    <cfRule type="cellIs" dxfId="261" priority="379" operator="equal">
      <formula>"Parcialmente cumplido"</formula>
    </cfRule>
    <cfRule type="cellIs" dxfId="260" priority="380" operator="equal">
      <formula>"No cumplido"</formula>
    </cfRule>
    <cfRule type="containsText" dxfId="259" priority="381" operator="containsText" text="Parcialmente cumplido">
      <formula>NOT(ISERROR(SEARCH("Parcialmente cumplido",G145)))</formula>
    </cfRule>
    <cfRule type="cellIs" dxfId="258" priority="382" operator="equal">
      <formula>"Cumplido"</formula>
    </cfRule>
    <cfRule type="containsText" dxfId="257" priority="383" operator="containsText" text="Sin cambios">
      <formula>NOT(ISERROR(SEARCH("Sin cambios",G145)))</formula>
    </cfRule>
    <cfRule type="cellIs" dxfId="256" priority="384" operator="equal">
      <formula>"En actualización / En proceso"</formula>
    </cfRule>
  </conditionalFormatting>
  <conditionalFormatting sqref="G146:H147">
    <cfRule type="cellIs" dxfId="255" priority="369" operator="equal">
      <formula>"No"</formula>
    </cfRule>
    <cfRule type="cellIs" dxfId="254" priority="370" operator="equal">
      <formula>"Sí"</formula>
    </cfRule>
    <cfRule type="cellIs" dxfId="253" priority="371" operator="equal">
      <formula>"Parcialmente cumplido"</formula>
    </cfRule>
    <cfRule type="cellIs" dxfId="252" priority="372" operator="equal">
      <formula>"No cumplido"</formula>
    </cfRule>
    <cfRule type="containsText" dxfId="251" priority="373" operator="containsText" text="Parcialmente cumplido">
      <formula>NOT(ISERROR(SEARCH("Parcialmente cumplido",G146)))</formula>
    </cfRule>
    <cfRule type="cellIs" dxfId="250" priority="374" operator="equal">
      <formula>"Cumplido"</formula>
    </cfRule>
    <cfRule type="containsText" dxfId="249" priority="375" operator="containsText" text="Sin cambios">
      <formula>NOT(ISERROR(SEARCH("Sin cambios",G146)))</formula>
    </cfRule>
    <cfRule type="cellIs" dxfId="248" priority="376" operator="equal">
      <formula>"En actualización / En proceso"</formula>
    </cfRule>
  </conditionalFormatting>
  <conditionalFormatting sqref="G151:H151">
    <cfRule type="cellIs" dxfId="247" priority="361" operator="equal">
      <formula>"No"</formula>
    </cfRule>
    <cfRule type="cellIs" dxfId="246" priority="362" operator="equal">
      <formula>"Sí"</formula>
    </cfRule>
    <cfRule type="cellIs" dxfId="245" priority="363" operator="equal">
      <formula>"Parcialmente cumplido"</formula>
    </cfRule>
    <cfRule type="cellIs" dxfId="244" priority="364" operator="equal">
      <formula>"No cumplido"</formula>
    </cfRule>
    <cfRule type="containsText" dxfId="243" priority="365" operator="containsText" text="Parcialmente cumplido">
      <formula>NOT(ISERROR(SEARCH("Parcialmente cumplido",G151)))</formula>
    </cfRule>
    <cfRule type="cellIs" dxfId="242" priority="366" operator="equal">
      <formula>"Cumplido"</formula>
    </cfRule>
    <cfRule type="containsText" dxfId="241" priority="367" operator="containsText" text="Sin cambios">
      <formula>NOT(ISERROR(SEARCH("Sin cambios",G151)))</formula>
    </cfRule>
    <cfRule type="cellIs" dxfId="240" priority="368" operator="equal">
      <formula>"En actualización / En proceso"</formula>
    </cfRule>
  </conditionalFormatting>
  <conditionalFormatting sqref="G157:H157">
    <cfRule type="cellIs" dxfId="239" priority="345" operator="equal">
      <formula>"No"</formula>
    </cfRule>
    <cfRule type="cellIs" dxfId="238" priority="346" operator="equal">
      <formula>"Sí"</formula>
    </cfRule>
    <cfRule type="cellIs" dxfId="237" priority="347" operator="equal">
      <formula>"Parcialmente cumplido"</formula>
    </cfRule>
    <cfRule type="cellIs" dxfId="236" priority="348" operator="equal">
      <formula>"No cumplido"</formula>
    </cfRule>
    <cfRule type="containsText" dxfId="235" priority="349" operator="containsText" text="Parcialmente cumplido">
      <formula>NOT(ISERROR(SEARCH("Parcialmente cumplido",G157)))</formula>
    </cfRule>
    <cfRule type="cellIs" dxfId="234" priority="350" operator="equal">
      <formula>"Cumplido"</formula>
    </cfRule>
    <cfRule type="containsText" dxfId="233" priority="351" operator="containsText" text="Sin cambios">
      <formula>NOT(ISERROR(SEARCH("Sin cambios",G157)))</formula>
    </cfRule>
    <cfRule type="cellIs" dxfId="232" priority="352" operator="equal">
      <formula>"En actualización / En proceso"</formula>
    </cfRule>
  </conditionalFormatting>
  <conditionalFormatting sqref="G161:H161">
    <cfRule type="cellIs" dxfId="231" priority="337" operator="equal">
      <formula>"No"</formula>
    </cfRule>
    <cfRule type="cellIs" dxfId="230" priority="338" operator="equal">
      <formula>"Sí"</formula>
    </cfRule>
    <cfRule type="cellIs" dxfId="229" priority="339" operator="equal">
      <formula>"Parcialmente cumplido"</formula>
    </cfRule>
    <cfRule type="cellIs" dxfId="228" priority="340" operator="equal">
      <formula>"No cumplido"</formula>
    </cfRule>
    <cfRule type="containsText" dxfId="227" priority="341" operator="containsText" text="Parcialmente cumplido">
      <formula>NOT(ISERROR(SEARCH("Parcialmente cumplido",G161)))</formula>
    </cfRule>
    <cfRule type="cellIs" dxfId="226" priority="342" operator="equal">
      <formula>"Cumplido"</formula>
    </cfRule>
    <cfRule type="containsText" dxfId="225" priority="343" operator="containsText" text="Sin cambios">
      <formula>NOT(ISERROR(SEARCH("Sin cambios",G161)))</formula>
    </cfRule>
    <cfRule type="cellIs" dxfId="224" priority="344" operator="equal">
      <formula>"En actualización / En proceso"</formula>
    </cfRule>
  </conditionalFormatting>
  <conditionalFormatting sqref="G162:H165">
    <cfRule type="cellIs" dxfId="223" priority="329" operator="equal">
      <formula>"No"</formula>
    </cfRule>
    <cfRule type="cellIs" dxfId="222" priority="330" operator="equal">
      <formula>"Sí"</formula>
    </cfRule>
    <cfRule type="cellIs" dxfId="221" priority="331" operator="equal">
      <formula>"Parcialmente cumplido"</formula>
    </cfRule>
    <cfRule type="cellIs" dxfId="220" priority="332" operator="equal">
      <formula>"No cumplido"</formula>
    </cfRule>
    <cfRule type="containsText" dxfId="219" priority="333" operator="containsText" text="Parcialmente cumplido">
      <formula>NOT(ISERROR(SEARCH("Parcialmente cumplido",G162)))</formula>
    </cfRule>
    <cfRule type="cellIs" dxfId="218" priority="334" operator="equal">
      <formula>"Cumplido"</formula>
    </cfRule>
    <cfRule type="containsText" dxfId="217" priority="335" operator="containsText" text="Sin cambios">
      <formula>NOT(ISERROR(SEARCH("Sin cambios",G162)))</formula>
    </cfRule>
    <cfRule type="cellIs" dxfId="216" priority="336" operator="equal">
      <formula>"En actualización / En proceso"</formula>
    </cfRule>
  </conditionalFormatting>
  <conditionalFormatting sqref="G169:H169">
    <cfRule type="cellIs" dxfId="215" priority="321" operator="equal">
      <formula>"No"</formula>
    </cfRule>
    <cfRule type="cellIs" dxfId="214" priority="322" operator="equal">
      <formula>"Sí"</formula>
    </cfRule>
    <cfRule type="cellIs" dxfId="213" priority="323" operator="equal">
      <formula>"Parcialmente cumplido"</formula>
    </cfRule>
    <cfRule type="cellIs" dxfId="212" priority="324" operator="equal">
      <formula>"No cumplido"</formula>
    </cfRule>
    <cfRule type="containsText" dxfId="211" priority="325" operator="containsText" text="Parcialmente cumplido">
      <formula>NOT(ISERROR(SEARCH("Parcialmente cumplido",G169)))</formula>
    </cfRule>
    <cfRule type="cellIs" dxfId="210" priority="326" operator="equal">
      <formula>"Cumplido"</formula>
    </cfRule>
    <cfRule type="containsText" dxfId="209" priority="327" operator="containsText" text="Sin cambios">
      <formula>NOT(ISERROR(SEARCH("Sin cambios",G169)))</formula>
    </cfRule>
    <cfRule type="cellIs" dxfId="208" priority="328" operator="equal">
      <formula>"En actualización / En proceso"</formula>
    </cfRule>
  </conditionalFormatting>
  <conditionalFormatting sqref="G170:H185">
    <cfRule type="cellIs" dxfId="207" priority="313" operator="equal">
      <formula>"No"</formula>
    </cfRule>
    <cfRule type="cellIs" dxfId="206" priority="314" operator="equal">
      <formula>"Sí"</formula>
    </cfRule>
    <cfRule type="cellIs" dxfId="205" priority="315" operator="equal">
      <formula>"Parcialmente cumplido"</formula>
    </cfRule>
    <cfRule type="cellIs" dxfId="204" priority="316" operator="equal">
      <formula>"No cumplido"</formula>
    </cfRule>
    <cfRule type="containsText" dxfId="203" priority="317" operator="containsText" text="Parcialmente cumplido">
      <formula>NOT(ISERROR(SEARCH("Parcialmente cumplido",G170)))</formula>
    </cfRule>
    <cfRule type="cellIs" dxfId="202" priority="318" operator="equal">
      <formula>"Cumplido"</formula>
    </cfRule>
    <cfRule type="containsText" dxfId="201" priority="319" operator="containsText" text="Sin cambios">
      <formula>NOT(ISERROR(SEARCH("Sin cambios",G170)))</formula>
    </cfRule>
    <cfRule type="cellIs" dxfId="200" priority="320" operator="equal">
      <formula>"En actualización / En proceso"</formula>
    </cfRule>
  </conditionalFormatting>
  <conditionalFormatting sqref="G195:H195">
    <cfRule type="cellIs" dxfId="199" priority="289" operator="equal">
      <formula>"No"</formula>
    </cfRule>
    <cfRule type="cellIs" dxfId="198" priority="290" operator="equal">
      <formula>"Sí"</formula>
    </cfRule>
    <cfRule type="cellIs" dxfId="197" priority="291" operator="equal">
      <formula>"Parcialmente cumplido"</formula>
    </cfRule>
    <cfRule type="cellIs" dxfId="196" priority="292" operator="equal">
      <formula>"No cumplido"</formula>
    </cfRule>
    <cfRule type="containsText" dxfId="195" priority="293" operator="containsText" text="Parcialmente cumplido">
      <formula>NOT(ISERROR(SEARCH("Parcialmente cumplido",G195)))</formula>
    </cfRule>
    <cfRule type="cellIs" dxfId="194" priority="294" operator="equal">
      <formula>"Cumplido"</formula>
    </cfRule>
    <cfRule type="containsText" dxfId="193" priority="295" operator="containsText" text="Sin cambios">
      <formula>NOT(ISERROR(SEARCH("Sin cambios",G195)))</formula>
    </cfRule>
    <cfRule type="cellIs" dxfId="192" priority="296" operator="equal">
      <formula>"En actualización / En proceso"</formula>
    </cfRule>
  </conditionalFormatting>
  <conditionalFormatting sqref="G218:H218">
    <cfRule type="cellIs" dxfId="191" priority="273" operator="equal">
      <formula>"No"</formula>
    </cfRule>
    <cfRule type="cellIs" dxfId="190" priority="274" operator="equal">
      <formula>"Sí"</formula>
    </cfRule>
    <cfRule type="cellIs" dxfId="189" priority="275" operator="equal">
      <formula>"Parcialmente cumplido"</formula>
    </cfRule>
    <cfRule type="cellIs" dxfId="188" priority="276" operator="equal">
      <formula>"No cumplido"</formula>
    </cfRule>
    <cfRule type="containsText" dxfId="187" priority="277" operator="containsText" text="Parcialmente cumplido">
      <formula>NOT(ISERROR(SEARCH("Parcialmente cumplido",G218)))</formula>
    </cfRule>
    <cfRule type="cellIs" dxfId="186" priority="278" operator="equal">
      <formula>"Cumplido"</formula>
    </cfRule>
    <cfRule type="containsText" dxfId="185" priority="279" operator="containsText" text="Sin cambios">
      <formula>NOT(ISERROR(SEARCH("Sin cambios",G218)))</formula>
    </cfRule>
    <cfRule type="cellIs" dxfId="184" priority="280" operator="equal">
      <formula>"En actualización / En proceso"</formula>
    </cfRule>
  </conditionalFormatting>
  <conditionalFormatting sqref="G219:H236">
    <cfRule type="cellIs" dxfId="183" priority="265" operator="equal">
      <formula>"No"</formula>
    </cfRule>
    <cfRule type="cellIs" dxfId="182" priority="266" operator="equal">
      <formula>"Sí"</formula>
    </cfRule>
    <cfRule type="cellIs" dxfId="181" priority="267" operator="equal">
      <formula>"Parcialmente cumplido"</formula>
    </cfRule>
    <cfRule type="cellIs" dxfId="180" priority="268" operator="equal">
      <formula>"No cumplido"</formula>
    </cfRule>
    <cfRule type="containsText" dxfId="179" priority="269" operator="containsText" text="Parcialmente cumplido">
      <formula>NOT(ISERROR(SEARCH("Parcialmente cumplido",G219)))</formula>
    </cfRule>
    <cfRule type="cellIs" dxfId="178" priority="270" operator="equal">
      <formula>"Cumplido"</formula>
    </cfRule>
    <cfRule type="containsText" dxfId="177" priority="271" operator="containsText" text="Sin cambios">
      <formula>NOT(ISERROR(SEARCH("Sin cambios",G219)))</formula>
    </cfRule>
    <cfRule type="cellIs" dxfId="176" priority="272" operator="equal">
      <formula>"En actualización / En proceso"</formula>
    </cfRule>
  </conditionalFormatting>
  <conditionalFormatting sqref="G214:H215">
    <cfRule type="cellIs" dxfId="175" priority="241" operator="equal">
      <formula>"No"</formula>
    </cfRule>
    <cfRule type="cellIs" dxfId="174" priority="242" operator="equal">
      <formula>"Sí"</formula>
    </cfRule>
    <cfRule type="cellIs" dxfId="173" priority="243" operator="equal">
      <formula>"Parcialmente cumplido"</formula>
    </cfRule>
    <cfRule type="cellIs" dxfId="172" priority="244" operator="equal">
      <formula>"No cumplido"</formula>
    </cfRule>
    <cfRule type="containsText" dxfId="171" priority="245" operator="containsText" text="Parcialmente cumplido">
      <formula>NOT(ISERROR(SEARCH("Parcialmente cumplido",G214)))</formula>
    </cfRule>
    <cfRule type="cellIs" dxfId="170" priority="246" operator="equal">
      <formula>"Cumplido"</formula>
    </cfRule>
    <cfRule type="containsText" dxfId="169" priority="247" operator="containsText" text="Sin cambios">
      <formula>NOT(ISERROR(SEARCH("Sin cambios",G214)))</formula>
    </cfRule>
    <cfRule type="cellIs" dxfId="168" priority="248" operator="equal">
      <formula>"En actualización / En proceso"</formula>
    </cfRule>
  </conditionalFormatting>
  <conditionalFormatting sqref="G237:H239">
    <cfRule type="cellIs" dxfId="167" priority="233" operator="equal">
      <formula>"No"</formula>
    </cfRule>
    <cfRule type="cellIs" dxfId="166" priority="234" operator="equal">
      <formula>"Sí"</formula>
    </cfRule>
    <cfRule type="cellIs" dxfId="165" priority="235" operator="equal">
      <formula>"Parcialmente cumplido"</formula>
    </cfRule>
    <cfRule type="cellIs" dxfId="164" priority="236" operator="equal">
      <formula>"No cumplido"</formula>
    </cfRule>
    <cfRule type="containsText" dxfId="163" priority="237" operator="containsText" text="Parcialmente cumplido">
      <formula>NOT(ISERROR(SEARCH("Parcialmente cumplido",G237)))</formula>
    </cfRule>
    <cfRule type="cellIs" dxfId="162" priority="238" operator="equal">
      <formula>"Cumplido"</formula>
    </cfRule>
    <cfRule type="containsText" dxfId="161" priority="239" operator="containsText" text="Sin cambios">
      <formula>NOT(ISERROR(SEARCH("Sin cambios",G237)))</formula>
    </cfRule>
    <cfRule type="cellIs" dxfId="160" priority="240" operator="equal">
      <formula>"En actualización / En proceso"</formula>
    </cfRule>
  </conditionalFormatting>
  <conditionalFormatting sqref="G253:H253">
    <cfRule type="cellIs" dxfId="159" priority="225" operator="equal">
      <formula>"No"</formula>
    </cfRule>
    <cfRule type="cellIs" dxfId="158" priority="226" operator="equal">
      <formula>"Sí"</formula>
    </cfRule>
    <cfRule type="cellIs" dxfId="157" priority="227" operator="equal">
      <formula>"Parcialmente cumplido"</formula>
    </cfRule>
    <cfRule type="cellIs" dxfId="156" priority="228" operator="equal">
      <formula>"No cumplido"</formula>
    </cfRule>
    <cfRule type="containsText" dxfId="155" priority="229" operator="containsText" text="Parcialmente cumplido">
      <formula>NOT(ISERROR(SEARCH("Parcialmente cumplido",G253)))</formula>
    </cfRule>
    <cfRule type="cellIs" dxfId="154" priority="230" operator="equal">
      <formula>"Cumplido"</formula>
    </cfRule>
    <cfRule type="containsText" dxfId="153" priority="231" operator="containsText" text="Sin cambios">
      <formula>NOT(ISERROR(SEARCH("Sin cambios",G253)))</formula>
    </cfRule>
    <cfRule type="cellIs" dxfId="152" priority="232" operator="equal">
      <formula>"En actualización / En proceso"</formula>
    </cfRule>
  </conditionalFormatting>
  <conditionalFormatting sqref="G254:H254">
    <cfRule type="cellIs" dxfId="151" priority="217" operator="equal">
      <formula>"No"</formula>
    </cfRule>
    <cfRule type="cellIs" dxfId="150" priority="218" operator="equal">
      <formula>"Sí"</formula>
    </cfRule>
    <cfRule type="cellIs" dxfId="149" priority="219" operator="equal">
      <formula>"Parcialmente cumplido"</formula>
    </cfRule>
    <cfRule type="cellIs" dxfId="148" priority="220" operator="equal">
      <formula>"No cumplido"</formula>
    </cfRule>
    <cfRule type="containsText" dxfId="147" priority="221" operator="containsText" text="Parcialmente cumplido">
      <formula>NOT(ISERROR(SEARCH("Parcialmente cumplido",G254)))</formula>
    </cfRule>
    <cfRule type="cellIs" dxfId="146" priority="222" operator="equal">
      <formula>"Cumplido"</formula>
    </cfRule>
    <cfRule type="containsText" dxfId="145" priority="223" operator="containsText" text="Sin cambios">
      <formula>NOT(ISERROR(SEARCH("Sin cambios",G254)))</formula>
    </cfRule>
    <cfRule type="cellIs" dxfId="144" priority="224" operator="equal">
      <formula>"En actualización / En proceso"</formula>
    </cfRule>
  </conditionalFormatting>
  <conditionalFormatting sqref="G258:H258">
    <cfRule type="cellIs" dxfId="143" priority="209" operator="equal">
      <formula>"No"</formula>
    </cfRule>
    <cfRule type="cellIs" dxfId="142" priority="210" operator="equal">
      <formula>"Sí"</formula>
    </cfRule>
    <cfRule type="cellIs" dxfId="141" priority="211" operator="equal">
      <formula>"Parcialmente cumplido"</formula>
    </cfRule>
    <cfRule type="cellIs" dxfId="140" priority="212" operator="equal">
      <formula>"No cumplido"</formula>
    </cfRule>
    <cfRule type="containsText" dxfId="139" priority="213" operator="containsText" text="Parcialmente cumplido">
      <formula>NOT(ISERROR(SEARCH("Parcialmente cumplido",G258)))</formula>
    </cfRule>
    <cfRule type="cellIs" dxfId="138" priority="214" operator="equal">
      <formula>"Cumplido"</formula>
    </cfRule>
    <cfRule type="containsText" dxfId="137" priority="215" operator="containsText" text="Sin cambios">
      <formula>NOT(ISERROR(SEARCH("Sin cambios",G258)))</formula>
    </cfRule>
    <cfRule type="cellIs" dxfId="136" priority="216" operator="equal">
      <formula>"En actualización / En proceso"</formula>
    </cfRule>
  </conditionalFormatting>
  <conditionalFormatting sqref="G259:H261">
    <cfRule type="cellIs" dxfId="135" priority="201" operator="equal">
      <formula>"No"</formula>
    </cfRule>
    <cfRule type="cellIs" dxfId="134" priority="202" operator="equal">
      <formula>"Sí"</formula>
    </cfRule>
    <cfRule type="cellIs" dxfId="133" priority="203" operator="equal">
      <formula>"Parcialmente cumplido"</formula>
    </cfRule>
    <cfRule type="cellIs" dxfId="132" priority="204" operator="equal">
      <formula>"No cumplido"</formula>
    </cfRule>
    <cfRule type="containsText" dxfId="131" priority="205" operator="containsText" text="Parcialmente cumplido">
      <formula>NOT(ISERROR(SEARCH("Parcialmente cumplido",G259)))</formula>
    </cfRule>
    <cfRule type="cellIs" dxfId="130" priority="206" operator="equal">
      <formula>"Cumplido"</formula>
    </cfRule>
    <cfRule type="containsText" dxfId="129" priority="207" operator="containsText" text="Sin cambios">
      <formula>NOT(ISERROR(SEARCH("Sin cambios",G259)))</formula>
    </cfRule>
    <cfRule type="cellIs" dxfId="128" priority="208" operator="equal">
      <formula>"En actualización / En proceso"</formula>
    </cfRule>
  </conditionalFormatting>
  <conditionalFormatting sqref="G265:H265">
    <cfRule type="cellIs" dxfId="127" priority="193" operator="equal">
      <formula>"No"</formula>
    </cfRule>
    <cfRule type="cellIs" dxfId="126" priority="194" operator="equal">
      <formula>"Sí"</formula>
    </cfRule>
    <cfRule type="cellIs" dxfId="125" priority="195" operator="equal">
      <formula>"Parcialmente cumplido"</formula>
    </cfRule>
    <cfRule type="cellIs" dxfId="124" priority="196" operator="equal">
      <formula>"No cumplido"</formula>
    </cfRule>
    <cfRule type="containsText" dxfId="123" priority="197" operator="containsText" text="Parcialmente cumplido">
      <formula>NOT(ISERROR(SEARCH("Parcialmente cumplido",G265)))</formula>
    </cfRule>
    <cfRule type="cellIs" dxfId="122" priority="198" operator="equal">
      <formula>"Cumplido"</formula>
    </cfRule>
    <cfRule type="containsText" dxfId="121" priority="199" operator="containsText" text="Sin cambios">
      <formula>NOT(ISERROR(SEARCH("Sin cambios",G265)))</formula>
    </cfRule>
    <cfRule type="cellIs" dxfId="120" priority="200" operator="equal">
      <formula>"En actualización / En proceso"</formula>
    </cfRule>
  </conditionalFormatting>
  <conditionalFormatting sqref="G266:H268">
    <cfRule type="cellIs" dxfId="119" priority="185" operator="equal">
      <formula>"No"</formula>
    </cfRule>
    <cfRule type="cellIs" dxfId="118" priority="186" operator="equal">
      <formula>"Sí"</formula>
    </cfRule>
    <cfRule type="cellIs" dxfId="117" priority="187" operator="equal">
      <formula>"Parcialmente cumplido"</formula>
    </cfRule>
    <cfRule type="cellIs" dxfId="116" priority="188" operator="equal">
      <formula>"No cumplido"</formula>
    </cfRule>
    <cfRule type="containsText" dxfId="115" priority="189" operator="containsText" text="Parcialmente cumplido">
      <formula>NOT(ISERROR(SEARCH("Parcialmente cumplido",G266)))</formula>
    </cfRule>
    <cfRule type="cellIs" dxfId="114" priority="190" operator="equal">
      <formula>"Cumplido"</formula>
    </cfRule>
    <cfRule type="containsText" dxfId="113" priority="191" operator="containsText" text="Sin cambios">
      <formula>NOT(ISERROR(SEARCH("Sin cambios",G266)))</formula>
    </cfRule>
    <cfRule type="cellIs" dxfId="112" priority="192" operator="equal">
      <formula>"En actualización / En proceso"</formula>
    </cfRule>
  </conditionalFormatting>
  <conditionalFormatting sqref="G274:H274">
    <cfRule type="cellIs" dxfId="111" priority="177" operator="equal">
      <formula>"No"</formula>
    </cfRule>
    <cfRule type="cellIs" dxfId="110" priority="178" operator="equal">
      <formula>"Sí"</formula>
    </cfRule>
    <cfRule type="cellIs" dxfId="109" priority="179" operator="equal">
      <formula>"Parcialmente cumplido"</formula>
    </cfRule>
    <cfRule type="cellIs" dxfId="108" priority="180" operator="equal">
      <formula>"No cumplido"</formula>
    </cfRule>
    <cfRule type="containsText" dxfId="107" priority="181" operator="containsText" text="Parcialmente cumplido">
      <formula>NOT(ISERROR(SEARCH("Parcialmente cumplido",G274)))</formula>
    </cfRule>
    <cfRule type="cellIs" dxfId="106" priority="182" operator="equal">
      <formula>"Cumplido"</formula>
    </cfRule>
    <cfRule type="containsText" dxfId="105" priority="183" operator="containsText" text="Sin cambios">
      <formula>NOT(ISERROR(SEARCH("Sin cambios",G274)))</formula>
    </cfRule>
    <cfRule type="cellIs" dxfId="104" priority="184" operator="equal">
      <formula>"En actualización / En proceso"</formula>
    </cfRule>
  </conditionalFormatting>
  <conditionalFormatting sqref="G275:H277">
    <cfRule type="cellIs" dxfId="103" priority="169" operator="equal">
      <formula>"No"</formula>
    </cfRule>
    <cfRule type="cellIs" dxfId="102" priority="170" operator="equal">
      <formula>"Sí"</formula>
    </cfRule>
    <cfRule type="cellIs" dxfId="101" priority="171" operator="equal">
      <formula>"Parcialmente cumplido"</formula>
    </cfRule>
    <cfRule type="cellIs" dxfId="100" priority="172" operator="equal">
      <formula>"No cumplido"</formula>
    </cfRule>
    <cfRule type="containsText" dxfId="99" priority="173" operator="containsText" text="Parcialmente cumplido">
      <formula>NOT(ISERROR(SEARCH("Parcialmente cumplido",G275)))</formula>
    </cfRule>
    <cfRule type="cellIs" dxfId="98" priority="174" operator="equal">
      <formula>"Cumplido"</formula>
    </cfRule>
    <cfRule type="containsText" dxfId="97" priority="175" operator="containsText" text="Sin cambios">
      <formula>NOT(ISERROR(SEARCH("Sin cambios",G275)))</formula>
    </cfRule>
    <cfRule type="cellIs" dxfId="96" priority="176" operator="equal">
      <formula>"En actualización / En proceso"</formula>
    </cfRule>
  </conditionalFormatting>
  <conditionalFormatting sqref="G281:H281">
    <cfRule type="cellIs" dxfId="95" priority="161" operator="equal">
      <formula>"No"</formula>
    </cfRule>
    <cfRule type="cellIs" dxfId="94" priority="162" operator="equal">
      <formula>"Sí"</formula>
    </cfRule>
    <cfRule type="cellIs" dxfId="93" priority="163" operator="equal">
      <formula>"Parcialmente cumplido"</formula>
    </cfRule>
    <cfRule type="cellIs" dxfId="92" priority="164" operator="equal">
      <formula>"No cumplido"</formula>
    </cfRule>
    <cfRule type="containsText" dxfId="91" priority="165" operator="containsText" text="Parcialmente cumplido">
      <formula>NOT(ISERROR(SEARCH("Parcialmente cumplido",G281)))</formula>
    </cfRule>
    <cfRule type="cellIs" dxfId="90" priority="166" operator="equal">
      <formula>"Cumplido"</formula>
    </cfRule>
    <cfRule type="containsText" dxfId="89" priority="167" operator="containsText" text="Sin cambios">
      <formula>NOT(ISERROR(SEARCH("Sin cambios",G281)))</formula>
    </cfRule>
    <cfRule type="cellIs" dxfId="88" priority="168" operator="equal">
      <formula>"En actualización / En proceso"</formula>
    </cfRule>
  </conditionalFormatting>
  <conditionalFormatting sqref="G282:H285">
    <cfRule type="cellIs" dxfId="87" priority="153" operator="equal">
      <formula>"No"</formula>
    </cfRule>
    <cfRule type="cellIs" dxfId="86" priority="154" operator="equal">
      <formula>"Sí"</formula>
    </cfRule>
    <cfRule type="cellIs" dxfId="85" priority="155" operator="equal">
      <formula>"Parcialmente cumplido"</formula>
    </cfRule>
    <cfRule type="cellIs" dxfId="84" priority="156" operator="equal">
      <formula>"No cumplido"</formula>
    </cfRule>
    <cfRule type="containsText" dxfId="83" priority="157" operator="containsText" text="Parcialmente cumplido">
      <formula>NOT(ISERROR(SEARCH("Parcialmente cumplido",G282)))</formula>
    </cfRule>
    <cfRule type="cellIs" dxfId="82" priority="158" operator="equal">
      <formula>"Cumplido"</formula>
    </cfRule>
    <cfRule type="containsText" dxfId="81" priority="159" operator="containsText" text="Sin cambios">
      <formula>NOT(ISERROR(SEARCH("Sin cambios",G282)))</formula>
    </cfRule>
    <cfRule type="cellIs" dxfId="80" priority="160" operator="equal">
      <formula>"En actualización / En proceso"</formula>
    </cfRule>
  </conditionalFormatting>
  <conditionalFormatting sqref="G291:H291">
    <cfRule type="cellIs" dxfId="79" priority="145" operator="equal">
      <formula>"No"</formula>
    </cfRule>
    <cfRule type="cellIs" dxfId="78" priority="146" operator="equal">
      <formula>"Sí"</formula>
    </cfRule>
    <cfRule type="cellIs" dxfId="77" priority="147" operator="equal">
      <formula>"Parcialmente cumplido"</formula>
    </cfRule>
    <cfRule type="cellIs" dxfId="76" priority="148" operator="equal">
      <formula>"No cumplido"</formula>
    </cfRule>
    <cfRule type="containsText" dxfId="75" priority="149" operator="containsText" text="Parcialmente cumplido">
      <formula>NOT(ISERROR(SEARCH("Parcialmente cumplido",G291)))</formula>
    </cfRule>
    <cfRule type="cellIs" dxfId="74" priority="150" operator="equal">
      <formula>"Cumplido"</formula>
    </cfRule>
    <cfRule type="containsText" dxfId="73" priority="151" operator="containsText" text="Sin cambios">
      <formula>NOT(ISERROR(SEARCH("Sin cambios",G291)))</formula>
    </cfRule>
    <cfRule type="cellIs" dxfId="72" priority="152" operator="equal">
      <formula>"En actualización / En proceso"</formula>
    </cfRule>
  </conditionalFormatting>
  <conditionalFormatting sqref="G292:H298">
    <cfRule type="cellIs" dxfId="71" priority="137" operator="equal">
      <formula>"No"</formula>
    </cfRule>
    <cfRule type="cellIs" dxfId="70" priority="138" operator="equal">
      <formula>"Sí"</formula>
    </cfRule>
    <cfRule type="cellIs" dxfId="69" priority="139" operator="equal">
      <formula>"Parcialmente cumplido"</formula>
    </cfRule>
    <cfRule type="cellIs" dxfId="68" priority="140" operator="equal">
      <formula>"No cumplido"</formula>
    </cfRule>
    <cfRule type="containsText" dxfId="67" priority="141" operator="containsText" text="Parcialmente cumplido">
      <formula>NOT(ISERROR(SEARCH("Parcialmente cumplido",G292)))</formula>
    </cfRule>
    <cfRule type="cellIs" dxfId="66" priority="142" operator="equal">
      <formula>"Cumplido"</formula>
    </cfRule>
    <cfRule type="containsText" dxfId="65" priority="143" operator="containsText" text="Sin cambios">
      <formula>NOT(ISERROR(SEARCH("Sin cambios",G292)))</formula>
    </cfRule>
    <cfRule type="cellIs" dxfId="64" priority="144" operator="equal">
      <formula>"En actualización / En proceso"</formula>
    </cfRule>
  </conditionalFormatting>
  <conditionalFormatting sqref="G304:H304">
    <cfRule type="cellIs" dxfId="63" priority="129" operator="equal">
      <formula>"No"</formula>
    </cfRule>
    <cfRule type="cellIs" dxfId="62" priority="130" operator="equal">
      <formula>"Sí"</formula>
    </cfRule>
    <cfRule type="cellIs" dxfId="61" priority="131" operator="equal">
      <formula>"Parcialmente cumplido"</formula>
    </cfRule>
    <cfRule type="cellIs" dxfId="60" priority="132" operator="equal">
      <formula>"No cumplido"</formula>
    </cfRule>
    <cfRule type="containsText" dxfId="59" priority="133" operator="containsText" text="Parcialmente cumplido">
      <formula>NOT(ISERROR(SEARCH("Parcialmente cumplido",G304)))</formula>
    </cfRule>
    <cfRule type="cellIs" dxfId="58" priority="134" operator="equal">
      <formula>"Cumplido"</formula>
    </cfRule>
    <cfRule type="containsText" dxfId="57" priority="135" operator="containsText" text="Sin cambios">
      <formula>NOT(ISERROR(SEARCH("Sin cambios",G304)))</formula>
    </cfRule>
    <cfRule type="cellIs" dxfId="56" priority="136" operator="equal">
      <formula>"En actualización / En proceso"</formula>
    </cfRule>
  </conditionalFormatting>
  <conditionalFormatting sqref="G305:H306">
    <cfRule type="cellIs" dxfId="55" priority="121" operator="equal">
      <formula>"No"</formula>
    </cfRule>
    <cfRule type="cellIs" dxfId="54" priority="122" operator="equal">
      <formula>"Sí"</formula>
    </cfRule>
    <cfRule type="cellIs" dxfId="53" priority="123" operator="equal">
      <formula>"Parcialmente cumplido"</formula>
    </cfRule>
    <cfRule type="cellIs" dxfId="52" priority="124" operator="equal">
      <formula>"No cumplido"</formula>
    </cfRule>
    <cfRule type="containsText" dxfId="51" priority="125" operator="containsText" text="Parcialmente cumplido">
      <formula>NOT(ISERROR(SEARCH("Parcialmente cumplido",G305)))</formula>
    </cfRule>
    <cfRule type="cellIs" dxfId="50" priority="126" operator="equal">
      <formula>"Cumplido"</formula>
    </cfRule>
    <cfRule type="containsText" dxfId="49" priority="127" operator="containsText" text="Sin cambios">
      <formula>NOT(ISERROR(SEARCH("Sin cambios",G305)))</formula>
    </cfRule>
    <cfRule type="cellIs" dxfId="48" priority="128" operator="equal">
      <formula>"En actualización / En proceso"</formula>
    </cfRule>
  </conditionalFormatting>
  <conditionalFormatting sqref="G310:H310">
    <cfRule type="cellIs" dxfId="47" priority="113" operator="equal">
      <formula>"No"</formula>
    </cfRule>
    <cfRule type="cellIs" dxfId="46" priority="114" operator="equal">
      <formula>"Sí"</formula>
    </cfRule>
    <cfRule type="cellIs" dxfId="45" priority="115" operator="equal">
      <formula>"Parcialmente cumplido"</formula>
    </cfRule>
    <cfRule type="cellIs" dxfId="44" priority="116" operator="equal">
      <formula>"No cumplido"</formula>
    </cfRule>
    <cfRule type="containsText" dxfId="43" priority="117" operator="containsText" text="Parcialmente cumplido">
      <formula>NOT(ISERROR(SEARCH("Parcialmente cumplido",G310)))</formula>
    </cfRule>
    <cfRule type="cellIs" dxfId="42" priority="118" operator="equal">
      <formula>"Cumplido"</formula>
    </cfRule>
    <cfRule type="containsText" dxfId="41" priority="119" operator="containsText" text="Sin cambios">
      <formula>NOT(ISERROR(SEARCH("Sin cambios",G310)))</formula>
    </cfRule>
    <cfRule type="cellIs" dxfId="40" priority="120" operator="equal">
      <formula>"En actualización / En proceso"</formula>
    </cfRule>
  </conditionalFormatting>
  <conditionalFormatting sqref="G314:H314">
    <cfRule type="cellIs" dxfId="39" priority="105" operator="equal">
      <formula>"No"</formula>
    </cfRule>
    <cfRule type="cellIs" dxfId="38" priority="106" operator="equal">
      <formula>"Sí"</formula>
    </cfRule>
    <cfRule type="cellIs" dxfId="37" priority="107" operator="equal">
      <formula>"Parcialmente cumplido"</formula>
    </cfRule>
    <cfRule type="cellIs" dxfId="36" priority="108" operator="equal">
      <formula>"No cumplido"</formula>
    </cfRule>
    <cfRule type="containsText" dxfId="35" priority="109" operator="containsText" text="Parcialmente cumplido">
      <formula>NOT(ISERROR(SEARCH("Parcialmente cumplido",G314)))</formula>
    </cfRule>
    <cfRule type="cellIs" dxfId="34" priority="110" operator="equal">
      <formula>"Cumplido"</formula>
    </cfRule>
    <cfRule type="containsText" dxfId="33" priority="111" operator="containsText" text="Sin cambios">
      <formula>NOT(ISERROR(SEARCH("Sin cambios",G314)))</formula>
    </cfRule>
    <cfRule type="cellIs" dxfId="32" priority="112" operator="equal">
      <formula>"En actualización / En proceso"</formula>
    </cfRule>
  </conditionalFormatting>
  <conditionalFormatting sqref="G315:H317">
    <cfRule type="cellIs" dxfId="31" priority="97" operator="equal">
      <formula>"No"</formula>
    </cfRule>
    <cfRule type="cellIs" dxfId="30" priority="98" operator="equal">
      <formula>"Sí"</formula>
    </cfRule>
    <cfRule type="cellIs" dxfId="29" priority="99" operator="equal">
      <formula>"Parcialmente cumplido"</formula>
    </cfRule>
    <cfRule type="cellIs" dxfId="28" priority="100" operator="equal">
      <formula>"No cumplido"</formula>
    </cfRule>
    <cfRule type="containsText" dxfId="27" priority="101" operator="containsText" text="Parcialmente cumplido">
      <formula>NOT(ISERROR(SEARCH("Parcialmente cumplido",G315)))</formula>
    </cfRule>
    <cfRule type="cellIs" dxfId="26" priority="102" operator="equal">
      <formula>"Cumplido"</formula>
    </cfRule>
    <cfRule type="containsText" dxfId="25" priority="103" operator="containsText" text="Sin cambios">
      <formula>NOT(ISERROR(SEARCH("Sin cambios",G315)))</formula>
    </cfRule>
    <cfRule type="cellIs" dxfId="24" priority="104" operator="equal">
      <formula>"En actualización / En proceso"</formula>
    </cfRule>
  </conditionalFormatting>
  <conditionalFormatting sqref="G321:H321">
    <cfRule type="cellIs" dxfId="23" priority="89" operator="equal">
      <formula>"No"</formula>
    </cfRule>
    <cfRule type="cellIs" dxfId="22" priority="90" operator="equal">
      <formula>"Sí"</formula>
    </cfRule>
    <cfRule type="cellIs" dxfId="21" priority="91" operator="equal">
      <formula>"Parcialmente cumplido"</formula>
    </cfRule>
    <cfRule type="cellIs" dxfId="20" priority="92" operator="equal">
      <formula>"No cumplido"</formula>
    </cfRule>
    <cfRule type="containsText" dxfId="19" priority="93" operator="containsText" text="Parcialmente cumplido">
      <formula>NOT(ISERROR(SEARCH("Parcialmente cumplido",G321)))</formula>
    </cfRule>
    <cfRule type="cellIs" dxfId="18" priority="94" operator="equal">
      <formula>"Cumplido"</formula>
    </cfRule>
    <cfRule type="containsText" dxfId="17" priority="95" operator="containsText" text="Sin cambios">
      <formula>NOT(ISERROR(SEARCH("Sin cambios",G321)))</formula>
    </cfRule>
    <cfRule type="cellIs" dxfId="16" priority="96" operator="equal">
      <formula>"En actualización / En proceso"</formula>
    </cfRule>
  </conditionalFormatting>
  <conditionalFormatting sqref="G325:H325">
    <cfRule type="cellIs" dxfId="15" priority="81" operator="equal">
      <formula>"No"</formula>
    </cfRule>
    <cfRule type="cellIs" dxfId="14" priority="82" operator="equal">
      <formula>"Sí"</formula>
    </cfRule>
    <cfRule type="cellIs" dxfId="13" priority="83" operator="equal">
      <formula>"Parcialmente cumplido"</formula>
    </cfRule>
    <cfRule type="cellIs" dxfId="12" priority="84" operator="equal">
      <formula>"No cumplido"</formula>
    </cfRule>
    <cfRule type="containsText" dxfId="11" priority="85" operator="containsText" text="Parcialmente cumplido">
      <formula>NOT(ISERROR(SEARCH("Parcialmente cumplido",G325)))</formula>
    </cfRule>
    <cfRule type="cellIs" dxfId="10" priority="86" operator="equal">
      <formula>"Cumplido"</formula>
    </cfRule>
    <cfRule type="containsText" dxfId="9" priority="87" operator="containsText" text="Sin cambios">
      <formula>NOT(ISERROR(SEARCH("Sin cambios",G325)))</formula>
    </cfRule>
    <cfRule type="cellIs" dxfId="8" priority="88" operator="equal">
      <formula>"En actualización / En proceso"</formula>
    </cfRule>
  </conditionalFormatting>
  <conditionalFormatting sqref="G326:H328">
    <cfRule type="cellIs" dxfId="7" priority="73" operator="equal">
      <formula>"No"</formula>
    </cfRule>
    <cfRule type="cellIs" dxfId="6" priority="74" operator="equal">
      <formula>"Sí"</formula>
    </cfRule>
    <cfRule type="cellIs" dxfId="5" priority="75" operator="equal">
      <formula>"Parcialmente cumplido"</formula>
    </cfRule>
    <cfRule type="cellIs" dxfId="4" priority="76" operator="equal">
      <formula>"No cumplido"</formula>
    </cfRule>
    <cfRule type="containsText" dxfId="3" priority="77" operator="containsText" text="Parcialmente cumplido">
      <formula>NOT(ISERROR(SEARCH("Parcialmente cumplido",G326)))</formula>
    </cfRule>
    <cfRule type="cellIs" dxfId="2" priority="78" operator="equal">
      <formula>"Cumplido"</formula>
    </cfRule>
    <cfRule type="containsText" dxfId="1" priority="79" operator="containsText" text="Sin cambios">
      <formula>NOT(ISERROR(SEARCH("Sin cambios",G326)))</formula>
    </cfRule>
    <cfRule type="cellIs" dxfId="0" priority="80" operator="equal">
      <formula>"En actualización / En proceso"</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E8AC2-B106-40E7-B131-1B330BD3AE7A}">
  <dimension ref="B2:C16"/>
  <sheetViews>
    <sheetView showGridLines="0" topLeftCell="A4" zoomScale="90" zoomScaleNormal="90" workbookViewId="0">
      <selection activeCell="F7" sqref="F7"/>
    </sheetView>
  </sheetViews>
  <sheetFormatPr baseColWidth="10" defaultRowHeight="15" x14ac:dyDescent="0.25"/>
  <cols>
    <col min="3" max="3" width="91.7109375" customWidth="1"/>
  </cols>
  <sheetData>
    <row r="2" spans="2:3" ht="21" x14ac:dyDescent="0.35">
      <c r="B2" s="124" t="s">
        <v>869</v>
      </c>
      <c r="C2" s="124"/>
    </row>
    <row r="3" spans="2:3" ht="30" customHeight="1" x14ac:dyDescent="0.25"/>
    <row r="4" spans="2:3" ht="38.25" x14ac:dyDescent="0.25">
      <c r="B4" s="73" t="s">
        <v>843</v>
      </c>
      <c r="C4" s="21" t="s">
        <v>856</v>
      </c>
    </row>
    <row r="5" spans="2:3" ht="38.25" x14ac:dyDescent="0.25">
      <c r="B5" s="73" t="s">
        <v>844</v>
      </c>
      <c r="C5" s="21" t="s">
        <v>857</v>
      </c>
    </row>
    <row r="6" spans="2:3" ht="25.5" x14ac:dyDescent="0.25">
      <c r="B6" s="73" t="s">
        <v>845</v>
      </c>
      <c r="C6" s="21" t="s">
        <v>858</v>
      </c>
    </row>
    <row r="7" spans="2:3" ht="102" x14ac:dyDescent="0.25">
      <c r="B7" s="73" t="s">
        <v>846</v>
      </c>
      <c r="C7" s="21" t="s">
        <v>859</v>
      </c>
    </row>
    <row r="8" spans="2:3" x14ac:dyDescent="0.25">
      <c r="B8" s="73" t="s">
        <v>847</v>
      </c>
      <c r="C8" s="21" t="s">
        <v>860</v>
      </c>
    </row>
    <row r="9" spans="2:3" ht="38.25" x14ac:dyDescent="0.25">
      <c r="B9" s="73" t="s">
        <v>848</v>
      </c>
      <c r="C9" s="21" t="s">
        <v>861</v>
      </c>
    </row>
    <row r="10" spans="2:3" ht="51" x14ac:dyDescent="0.25">
      <c r="B10" s="73" t="s">
        <v>849</v>
      </c>
      <c r="C10" s="21" t="s">
        <v>862</v>
      </c>
    </row>
    <row r="11" spans="2:3" ht="25.5" x14ac:dyDescent="0.25">
      <c r="B11" s="73" t="s">
        <v>850</v>
      </c>
      <c r="C11" s="21" t="s">
        <v>863</v>
      </c>
    </row>
    <row r="12" spans="2:3" ht="76.5" x14ac:dyDescent="0.25">
      <c r="B12" s="73" t="s">
        <v>851</v>
      </c>
      <c r="C12" s="21" t="s">
        <v>864</v>
      </c>
    </row>
    <row r="13" spans="2:3" ht="76.5" x14ac:dyDescent="0.25">
      <c r="B13" s="73" t="s">
        <v>852</v>
      </c>
      <c r="C13" s="21" t="s">
        <v>865</v>
      </c>
    </row>
    <row r="14" spans="2:3" ht="38.25" x14ac:dyDescent="0.25">
      <c r="B14" s="73" t="s">
        <v>853</v>
      </c>
      <c r="C14" s="21" t="s">
        <v>866</v>
      </c>
    </row>
    <row r="15" spans="2:3" ht="25.5" x14ac:dyDescent="0.25">
      <c r="B15" s="73" t="s">
        <v>854</v>
      </c>
      <c r="C15" s="21" t="s">
        <v>867</v>
      </c>
    </row>
    <row r="16" spans="2:3" ht="25.5" x14ac:dyDescent="0.25">
      <c r="B16" s="73" t="s">
        <v>855</v>
      </c>
      <c r="C16" s="21" t="s">
        <v>868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F6:L9"/>
  <sheetViews>
    <sheetView workbookViewId="0">
      <selection activeCell="G9" sqref="G9:L9"/>
    </sheetView>
  </sheetViews>
  <sheetFormatPr baseColWidth="10" defaultRowHeight="15" x14ac:dyDescent="0.25"/>
  <sheetData>
    <row r="6" spans="6:12" x14ac:dyDescent="0.25">
      <c r="F6" s="28"/>
      <c r="G6" s="29" t="s">
        <v>146</v>
      </c>
      <c r="H6" s="30"/>
      <c r="I6" s="42"/>
      <c r="J6" s="42"/>
      <c r="K6" s="29"/>
      <c r="L6" s="42"/>
    </row>
    <row r="7" spans="6:12" ht="68.45" customHeight="1" x14ac:dyDescent="0.25">
      <c r="F7" s="31">
        <v>35</v>
      </c>
      <c r="G7" s="150" t="s">
        <v>253</v>
      </c>
      <c r="H7" s="150"/>
      <c r="I7" s="150"/>
      <c r="J7" s="150"/>
      <c r="K7" s="150"/>
      <c r="L7" s="150"/>
    </row>
    <row r="8" spans="6:12" x14ac:dyDescent="0.25">
      <c r="F8" s="32"/>
      <c r="G8" s="14" t="s">
        <v>147</v>
      </c>
      <c r="H8" s="33"/>
      <c r="I8" s="43"/>
      <c r="J8" s="43"/>
      <c r="K8" s="34"/>
      <c r="L8" s="43"/>
    </row>
    <row r="9" spans="6:12" ht="69" customHeight="1" x14ac:dyDescent="0.25">
      <c r="F9" s="31">
        <v>36</v>
      </c>
      <c r="G9" s="148" t="s">
        <v>254</v>
      </c>
      <c r="H9" s="148"/>
      <c r="I9" s="148"/>
      <c r="J9" s="148"/>
      <c r="K9" s="148"/>
      <c r="L9" s="148"/>
    </row>
  </sheetData>
  <mergeCells count="2">
    <mergeCell ref="G7:L7"/>
    <mergeCell ref="G9:L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Reporte Operativa_2021</vt:lpstr>
      <vt:lpstr>Interna P. operativa</vt:lpstr>
      <vt:lpstr>Reporte EOperativa </vt:lpstr>
      <vt:lpstr>Reporte Tentativa Operación</vt:lpstr>
      <vt:lpstr>Cuadros estructuras internas</vt:lpstr>
      <vt:lpstr>Mitigantes</vt:lpstr>
      <vt:lpstr>Razones inusalidad</vt:lpstr>
      <vt:lpstr>Hoja1</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dc:creator>
  <cp:lastModifiedBy>CALFER-PC4</cp:lastModifiedBy>
  <dcterms:created xsi:type="dcterms:W3CDTF">2019-03-08T20:08:45Z</dcterms:created>
  <dcterms:modified xsi:type="dcterms:W3CDTF">2023-05-30T20:03:16Z</dcterms:modified>
</cp:coreProperties>
</file>